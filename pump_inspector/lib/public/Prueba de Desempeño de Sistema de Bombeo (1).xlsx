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sheetId="1" r:id="rId5"/>
    <sheet state="visible" name="Grafica" sheetId="2" r:id="rId6"/>
  </sheets>
  <definedNames/>
  <calcPr/>
</workbook>
</file>

<file path=xl/sharedStrings.xml><?xml version="1.0" encoding="utf-8"?>
<sst xmlns="http://schemas.openxmlformats.org/spreadsheetml/2006/main" count="170" uniqueCount="109">
  <si>
    <t xml:space="preserve"> </t>
  </si>
  <si>
    <t>Nombre de la empresa:</t>
  </si>
  <si>
    <t>Courtyard by Marriott Mazatlán Beach Resort</t>
  </si>
  <si>
    <t>Ciudad y Estado:</t>
  </si>
  <si>
    <t>MAZATLAN, SINALOA</t>
  </si>
  <si>
    <t>Nombre del contacto(s):</t>
  </si>
  <si>
    <t>JORGE ESCOBAR</t>
  </si>
  <si>
    <t>Sistema:</t>
  </si>
  <si>
    <t>BOMBA ELECTRICA</t>
  </si>
  <si>
    <t>DATOS DEL EQUIPO</t>
  </si>
  <si>
    <t>BOMBA:</t>
  </si>
  <si>
    <t>Horizontal</t>
  </si>
  <si>
    <t>x</t>
  </si>
  <si>
    <t>Vertical</t>
  </si>
  <si>
    <t>Marca:</t>
  </si>
  <si>
    <t>AC FIRE PUMP</t>
  </si>
  <si>
    <t>Modelo:</t>
  </si>
  <si>
    <t>FP110HC-750</t>
  </si>
  <si>
    <t>X</t>
  </si>
  <si>
    <t>Aprobada</t>
  </si>
  <si>
    <t>No Aprobada</t>
  </si>
  <si>
    <t>Número de serie:</t>
  </si>
  <si>
    <t>Diámetro de impulsor:</t>
  </si>
  <si>
    <t>Datos nominales:</t>
  </si>
  <si>
    <t>GPM</t>
  </si>
  <si>
    <t>PSI</t>
  </si>
  <si>
    <t>RPM</t>
  </si>
  <si>
    <t>Máxima presión desarrollada:</t>
  </si>
  <si>
    <t>Presión al 150 % de capacidad:</t>
  </si>
  <si>
    <t>Cabezal de engranes:</t>
  </si>
  <si>
    <t>R2003133</t>
  </si>
  <si>
    <t>Relación:</t>
  </si>
  <si>
    <t>VTA:</t>
  </si>
  <si>
    <t>MOTOR:</t>
  </si>
  <si>
    <t>Diésel</t>
  </si>
  <si>
    <t>Eléctrico</t>
  </si>
  <si>
    <t>NIDEC</t>
  </si>
  <si>
    <t>7322BEM</t>
  </si>
  <si>
    <t>Desempeño en prueba</t>
  </si>
  <si>
    <t>Aprobado</t>
  </si>
  <si>
    <t>No Aprobado</t>
  </si>
  <si>
    <t>Ajuste de velocidad</t>
  </si>
  <si>
    <t>Datos de fábrica</t>
  </si>
  <si>
    <t>Aceptación NFPA 25 (-5%)</t>
  </si>
  <si>
    <t>B04201923230001</t>
  </si>
  <si>
    <t>% Flujo</t>
  </si>
  <si>
    <t>HP</t>
  </si>
  <si>
    <t>Motores eléctricos:</t>
  </si>
  <si>
    <t>Flujo (GPM)</t>
  </si>
  <si>
    <t>Velocidad (RPM)</t>
  </si>
  <si>
    <t>Volts</t>
  </si>
  <si>
    <t>Presión de descarga (PSI)</t>
  </si>
  <si>
    <t>Presión de succión (PSI)</t>
  </si>
  <si>
    <t>Presión neta (PSI)</t>
  </si>
  <si>
    <t>F.L.A.</t>
  </si>
  <si>
    <t>Factor de servicio:</t>
  </si>
  <si>
    <t>CONTROLADOR:</t>
  </si>
  <si>
    <t>EATON</t>
  </si>
  <si>
    <t>FD-70-150-B-L1</t>
  </si>
  <si>
    <t>Voltaje:</t>
  </si>
  <si>
    <t>16F3335E</t>
  </si>
  <si>
    <t>Modo de operación:</t>
  </si>
  <si>
    <t>Manual</t>
  </si>
  <si>
    <t>Automático</t>
  </si>
  <si>
    <t>Presión de arranque:</t>
  </si>
  <si>
    <t>Presión de paro:</t>
  </si>
  <si>
    <t>ALMACENAMIENTO DE AGUA:</t>
  </si>
  <si>
    <t>Tanque</t>
  </si>
  <si>
    <t>Cisterna</t>
  </si>
  <si>
    <t>Columna de agua:</t>
  </si>
  <si>
    <t>Pies</t>
  </si>
  <si>
    <t>Capacidad:</t>
  </si>
  <si>
    <t>400 M3</t>
  </si>
  <si>
    <t>DESEMPEÑO - RESULTADO DE PRUEBA DE CAMPO</t>
  </si>
  <si>
    <t>Realizar inspecciones preliminares del sistema y verificar que las condiciones sean adecuadas para su operación antes de realizar las pruebas. Anote los valores solicitados según corresponda:</t>
  </si>
  <si>
    <t>Corriente (flujo)</t>
  </si>
  <si>
    <t>Voltaje</t>
  </si>
  <si>
    <t>Amperaje</t>
  </si>
  <si>
    <t>Cantidad</t>
  </si>
  <si>
    <t>Tamaño(s)</t>
  </si>
  <si>
    <t>Presión 1</t>
  </si>
  <si>
    <t>Presión 2</t>
  </si>
  <si>
    <t>Presión 3</t>
  </si>
  <si>
    <t>Presión 4</t>
  </si>
  <si>
    <t>A-B</t>
  </si>
  <si>
    <t>A-C</t>
  </si>
  <si>
    <t>B-C</t>
  </si>
  <si>
    <t>A</t>
  </si>
  <si>
    <t>B</t>
  </si>
  <si>
    <t>C</t>
  </si>
  <si>
    <t>CONCLUSIONES</t>
  </si>
  <si>
    <t>Al realizar el análisis de la gráfica adjunta, comparando los resultados obtenidos ajustados a  velocidad nominal de la bomba contra los datos de fábrica del equipo, se determina que el desempeño de la motobomba contra incendios es:</t>
  </si>
  <si>
    <r>
      <rPr>
        <rFont val="Calibri"/>
        <b/>
        <color theme="1"/>
        <sz val="8.0"/>
      </rPr>
      <t xml:space="preserve">NFPA-25 (2017) 8.3.7.3 </t>
    </r>
    <r>
      <rPr>
        <rFont val="Calibri"/>
        <color theme="1"/>
        <sz val="8.0"/>
      </rPr>
      <t>- El ensamble de bomba contra incendio deberá considerarse aceptable si cualquiera de las siguientes condiciones se presenta durante las pruebas:
(1) La prueba resulta en no menos del 95 porciento de la presión a flujo nominal y presión nominal de la curva de la prueba de aceptación de campo, siempre y cuando la curva de la prueba de aceptación coincida con la curva original certificada de la bomba utilizando factores teóricos.
(2) La bomba contra incendio es no menos del 95 porciento de las características de desempeño indicadas en la placa de la bomba.</t>
    </r>
  </si>
  <si>
    <t>COMENTARIOS</t>
  </si>
  <si>
    <t>No fue aceptada por NFPA 25 debido a que en la succion no</t>
  </si>
  <si>
    <t>se cumple con los criterios de distancia antes del primer</t>
  </si>
  <si>
    <t>cambio de direccion.</t>
  </si>
  <si>
    <t>Nombre y firma de quien realiza el servicio:</t>
  </si>
  <si>
    <t>Nombre y firma de quien acepta el servicio:</t>
  </si>
  <si>
    <t>Tiempo de ejecución:</t>
  </si>
  <si>
    <t>Fecha de ejecución:</t>
  </si>
  <si>
    <t>Aceptable</t>
  </si>
  <si>
    <t>BERNARDO MORENO VILLALOBOS</t>
  </si>
  <si>
    <t>No Aceptable</t>
  </si>
  <si>
    <t>En base a lo anterior, se determina que el resultado es:</t>
  </si>
  <si>
    <t>1 HR</t>
  </si>
  <si>
    <t>21/10/21</t>
  </si>
  <si>
    <t xml:space="preserve">Página 2 de 2           </t>
  </si>
  <si>
    <t>Página 1 de 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</si>
</sst>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09]d\-mmm\-yyyy"/>
  </numFmts>
  <fonts count="11">
    <font>
      <sz val="11.0"/>
      <color theme="1"/>
      <name val="Calibri"/>
      <scheme val="minor"/>
    </font>
    <font>
      <sz val="11.0"/>
      <color theme="1"/>
      <name val="Calibri"/>
    </font>
    <font>
      <sz val="10.0"/>
      <color theme="1"/>
      <name val="Book Antiqua"/>
    </font>
    <font/>
    <font>
      <sz val="8.0"/>
      <color theme="1"/>
      <name val="Calibri"/>
    </font>
    <font>
      <b/>
      <sz val="16.0"/>
      <color theme="0"/>
      <name val="Calibri"/>
    </font>
    <font>
      <b/>
      <sz val="8.0"/>
      <color theme="1"/>
      <name val="Calibri"/>
    </font>
    <font>
      <b/>
      <sz val="8.0"/>
      <color theme="0"/>
      <name val="Calibri"/>
    </font>
    <font>
      <b/>
      <sz val="8.0"/>
      <color theme="1"/>
      <name val="Arial"/>
    </font>
    <font>
      <b/>
      <sz val="16.0"/>
      <color theme="1"/>
      <name val="Calibri"/>
    </font>
    <font>
      <sz val="11.0"/>
      <color theme="0"/>
      <name val="Calibri"/>
    </font>
  </fonts>
  <fills count="11">
    <fill>
      <patternFill patternType="none"/>
    </fill>
    <fill>
      <patternFill patternType="lightGray"/>
    </fill>
    <fill>
      <patternFill patternType="solid">
        <fgColor rgb="FFF2F2F2"/>
        <bgColor rgb="FFF2F2F2"/>
      </patternFill>
    </fill>
    <fill>
      <patternFill patternType="solid">
        <fgColor theme="0"/>
        <bgColor theme="0"/>
      </patternFill>
    </fill>
    <fill>
      <patternFill patternType="solid">
        <fgColor rgb="FFC00000"/>
        <bgColor rgb="FFC00000"/>
      </patternFill>
    </fill>
    <fill>
      <patternFill patternType="solid">
        <fgColor rgb="FF005979"/>
        <bgColor rgb="FF005979"/>
      </patternFill>
    </fill>
    <fill>
      <patternFill patternType="solid">
        <fgColor rgb="FFD8D8D8"/>
        <bgColor rgb="FFD8D8D8"/>
      </patternFill>
    </fill>
    <fill>
      <patternFill patternType="solid">
        <fgColor rgb="FFA0ACAA"/>
        <bgColor rgb="FFA0ACAA"/>
      </patternFill>
    </fill>
    <fill>
      <patternFill patternType="solid">
        <fgColor rgb="FFF18B21"/>
        <bgColor rgb="FFF18B21"/>
      </patternFill>
    </fill>
    <fill>
      <patternFill patternType="solid">
        <fgColor rgb="FFFF0000"/>
        <bgColor rgb="FFFF0000"/>
      </patternFill>
    </fill>
    <fill>
      <patternFill patternType="solid">
        <fgColor rgb="FFDBE5F1"/>
        <bgColor rgb="FFDBE5F1"/>
      </patternFill>
    </fill>
  </fills>
  <borders count="91">
    <border/>
    <border>
      <left/>
      <right/>
      <top/>
      <bottom/>
    </border>
    <border>
      <left style="medium">
        <color rgb="FF000000"/>
      </left>
      <top style="medium">
        <color rgb="FF000000"/>
      </top>
    </border>
    <border>
      <top style="medium">
        <color rgb="FF000000"/>
      </top>
    </border>
    <border>
      <right style="thin">
        <color rgb="FF000000"/>
      </right>
      <top style="medium">
        <color rgb="FF000000"/>
      </top>
    </border>
    <border>
      <left/>
      <top style="medium">
        <color rgb="FF000000"/>
      </top>
    </border>
    <border>
      <right style="medium">
        <color rgb="FF000000"/>
      </right>
      <top style="medium">
        <color rgb="FF000000"/>
      </top>
    </border>
    <border>
      <left style="medium">
        <color rgb="FF000000"/>
      </left>
    </border>
    <border>
      <right style="thin">
        <color rgb="FF000000"/>
      </right>
    </border>
    <border>
      <left/>
    </border>
    <border>
      <right style="medium">
        <color rgb="FF000000"/>
      </right>
    </border>
    <border>
      <left style="medium">
        <color rgb="FF000000"/>
      </left>
      <bottom style="thin">
        <color rgb="FF000000"/>
      </bottom>
    </border>
    <border>
      <bottom style="thin">
        <color rgb="FF000000"/>
      </bottom>
    </border>
    <border>
      <right style="thin">
        <color rgb="FF000000"/>
      </right>
      <bottom style="thin">
        <color rgb="FF000000"/>
      </bottom>
    </border>
    <border>
      <left/>
      <bottom style="thin">
        <color rgb="FF000000"/>
      </bottom>
    </border>
    <border>
      <right style="medium">
        <color rgb="FF000000"/>
      </right>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top style="thin">
        <color rgb="FF000000"/>
      </top>
      <bottom style="thin">
        <color rgb="FF000000"/>
      </bottom>
    </border>
    <border>
      <left/>
      <top style="thin">
        <color rgb="FF000000"/>
      </top>
      <bottom/>
    </border>
    <border>
      <top style="thin">
        <color rgb="FF000000"/>
      </top>
      <bottom/>
    </border>
    <border>
      <right/>
      <top style="thin">
        <color rgb="FF000000"/>
      </top>
      <bottom/>
    </border>
    <border>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right/>
      <top style="medium">
        <color rgb="FF000000"/>
      </top>
      <bottom style="thin">
        <color rgb="FF000000"/>
      </bottom>
    </border>
    <border>
      <left/>
      <top style="medium">
        <color rgb="FF000000"/>
      </top>
      <bottom style="thin">
        <color rgb="FF000000"/>
      </bottom>
    </border>
    <border>
      <top style="medium">
        <color rgb="FF000000"/>
      </top>
      <bottom style="thin">
        <color rgb="FF000000"/>
      </bottom>
    </border>
    <border>
      <right/>
      <top style="medium">
        <color rgb="FF000000"/>
      </top>
      <bottom style="thin">
        <color rgb="FF000000"/>
      </bottom>
    </border>
    <border>
      <left style="medium">
        <color rgb="FF000000"/>
      </left>
      <right/>
      <top style="thin">
        <color rgb="FF000000"/>
      </top>
      <bottom style="medium">
        <color rgb="FF000000"/>
      </bottom>
    </border>
    <border>
      <left/>
      <right/>
      <top style="thin">
        <color rgb="FF000000"/>
      </top>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top style="thin">
        <color rgb="FF000000"/>
      </top>
      <bottom/>
    </border>
    <border>
      <left/>
      <right/>
      <top style="thin">
        <color rgb="FF000000"/>
      </top>
      <bottom/>
    </border>
    <border>
      <left/>
      <right style="medium">
        <color rgb="FF000000"/>
      </right>
      <top style="thin">
        <color rgb="FF000000"/>
      </top>
      <bottom/>
    </border>
    <border>
      <left style="medium">
        <color rgb="FF000000"/>
      </left>
      <right/>
      <top/>
      <bottom/>
    </border>
    <border>
      <left/>
      <top/>
      <bottom/>
    </border>
    <border>
      <top/>
      <bottom/>
    </border>
    <border>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bottom/>
    </border>
    <border>
      <left/>
      <right style="medium">
        <color rgb="FF000000"/>
      </right>
      <top/>
      <bottom/>
    </border>
    <border>
      <left/>
      <right style="medium">
        <color rgb="FF000000"/>
      </right>
      <top style="medium">
        <color rgb="FF000000"/>
      </top>
      <bottom style="thin">
        <color rgb="FF000000"/>
      </bottom>
    </border>
    <border>
      <left style="medium">
        <color rgb="FF000000"/>
      </left>
      <right/>
      <top/>
      <bottom style="thin">
        <color rgb="FF000000"/>
      </bottom>
    </border>
    <border>
      <left/>
      <right/>
      <top/>
      <bottom style="thin">
        <color rgb="FF000000"/>
      </bottom>
    </border>
    <border>
      <left/>
      <right style="medium">
        <color rgb="FF000000"/>
      </right>
      <top/>
      <bottom style="thin">
        <color rgb="FF000000"/>
      </bottom>
    </border>
    <border>
      <left/>
      <right style="medium">
        <color rgb="FF000000"/>
      </right>
      <top style="thin">
        <color rgb="FF000000"/>
      </top>
      <bottom style="thin">
        <color rgb="FF000000"/>
      </bottom>
    </border>
    <border>
      <left style="thin">
        <color rgb="FF000000"/>
      </left>
      <right/>
      <top/>
      <bottom/>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top/>
      <bottom style="thin">
        <color rgb="FF000000"/>
      </bottom>
    </border>
    <border>
      <top/>
      <bottom style="thin">
        <color rgb="FF000000"/>
      </bottom>
    </border>
    <border>
      <left style="thin">
        <color rgb="FF000000"/>
      </left>
      <bottom style="thin">
        <color rgb="FF000000"/>
      </bottom>
    </border>
    <border>
      <right style="medium">
        <color rgb="FF000000"/>
      </right>
      <top/>
      <bottom style="thin">
        <color rgb="FF000000"/>
      </bottom>
    </border>
    <border>
      <left style="medium">
        <color rgb="FF000000"/>
      </left>
      <right/>
      <top/>
      <bottom style="medium">
        <color rgb="FF000000"/>
      </bottom>
    </border>
    <border>
      <left/>
      <top/>
      <bottom style="medium">
        <color rgb="FF000000"/>
      </bottom>
    </border>
    <border>
      <top/>
      <bottom style="medium">
        <color rgb="FF000000"/>
      </bottom>
    </border>
    <border>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bottom/>
    </border>
    <border>
      <left/>
      <top style="thin">
        <color rgb="FF000000"/>
      </top>
    </border>
    <border>
      <right/>
      <top style="thin">
        <color rgb="FF000000"/>
      </top>
    </border>
    <border>
      <left/>
      <right style="thin">
        <color rgb="FF000000"/>
      </right>
      <top style="thin">
        <color rgb="FF000000"/>
      </top>
      <bottom/>
    </border>
    <border>
      <left style="thin">
        <color rgb="FF000000"/>
      </left>
      <right/>
      <top style="thin">
        <color rgb="FF000000"/>
      </top>
      <bottom style="thin">
        <color rgb="FF000000"/>
      </bottom>
    </border>
    <border>
      <right/>
    </border>
    <border>
      <left/>
      <right style="thin">
        <color rgb="FF000000"/>
      </right>
      <top/>
      <bottom/>
    </border>
    <border>
      <left style="thin">
        <color rgb="FF000000"/>
      </left>
      <top style="thin">
        <color rgb="FF000000"/>
      </top>
      <bottom/>
    </border>
    <border>
      <right style="medium">
        <color rgb="FF000000"/>
      </right>
      <top style="thin">
        <color rgb="FF000000"/>
      </top>
      <bottom/>
    </border>
    <border>
      <left style="medium">
        <color rgb="FF000000"/>
      </left>
      <top style="medium">
        <color rgb="FF000000"/>
      </top>
      <bottom/>
    </border>
    <border>
      <top style="medium">
        <color rgb="FF000000"/>
      </top>
      <bottom/>
    </border>
    <border>
      <left/>
      <bottom/>
    </border>
    <border>
      <bottom/>
    </border>
    <border>
      <right style="thin">
        <color rgb="FF000000"/>
      </right>
      <top style="medium">
        <color rgb="FF000000"/>
      </top>
      <bottom/>
    </border>
    <border>
      <right/>
      <bottom/>
    </border>
    <border>
      <left style="thin">
        <color rgb="FF000000"/>
      </left>
      <top style="medium">
        <color rgb="FF000000"/>
      </top>
      <bottom/>
    </border>
    <border>
      <left/>
      <top style="medium">
        <color rgb="FF000000"/>
      </top>
      <bottom/>
    </border>
    <border>
      <right style="medium">
        <color rgb="FF000000"/>
      </right>
      <top style="medium">
        <color rgb="FF000000"/>
      </top>
      <bottom/>
    </border>
    <border>
      <right style="thin">
        <color rgb="FF000000"/>
      </right>
      <top/>
      <bottom/>
    </border>
    <border>
      <right style="thin">
        <color rgb="FF000000"/>
      </right>
      <top/>
      <bottom style="thin">
        <color rgb="FF000000"/>
      </bottom>
    </border>
    <border>
      <left style="thin">
        <color rgb="FF000000"/>
      </left>
      <top/>
      <bottom style="thin">
        <color rgb="FF000000"/>
      </bottom>
    </border>
    <border>
      <left/>
      <top/>
      <bottom style="thin">
        <color rgb="FF000000"/>
      </bottom>
    </border>
    <border>
      <left/>
      <right style="thin">
        <color rgb="FF000000"/>
      </right>
      <top/>
      <bottom style="medium">
        <color rgb="FF000000"/>
      </bottom>
    </border>
    <border>
      <left style="medium">
        <color rgb="FF000000"/>
      </left>
      <right/>
      <top style="medium">
        <color rgb="FF000000"/>
      </top>
      <bottom/>
    </border>
    <border>
      <right style="medium">
        <color rgb="FF000000"/>
      </right>
      <top/>
      <bottom style="medium">
        <color rgb="FF000000"/>
      </bottom>
    </border>
  </borders>
  <cellStyleXfs count="1">
    <xf borderId="0" fillId="0" fontId="0" numFmtId="0" applyAlignment="1" applyFont="1"/>
  </cellStyleXfs>
  <cellXfs count="163">
    <xf borderId="0" fillId="0" fontId="0" numFmtId="0" xfId="0" applyAlignment="1" applyFont="1">
      <alignment readingOrder="0" shrinkToFit="0" vertical="bottom" wrapText="0"/>
    </xf>
    <xf borderId="0" fillId="0" fontId="1" numFmtId="0" xfId="0" applyFont="1"/>
    <xf borderId="1" fillId="2" fontId="1" numFmtId="0" xfId="0" applyBorder="1" applyFill="1" applyFont="1"/>
    <xf borderId="2" fillId="3" fontId="2" numFmtId="0" xfId="0" applyAlignment="1" applyBorder="1" applyFill="1" applyFont="1">
      <alignment horizontal="center"/>
    </xf>
    <xf borderId="3" fillId="0" fontId="3" numFmtId="0" xfId="0" applyBorder="1" applyFont="1"/>
    <xf borderId="4" fillId="0" fontId="3" numFmtId="0" xfId="0" applyBorder="1" applyFont="1"/>
    <xf borderId="5" fillId="3" fontId="4"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16" fillId="4" fontId="5" numFmtId="0" xfId="0" applyAlignment="1" applyBorder="1" applyFill="1" applyFont="1">
      <alignment horizontal="center" shrinkToFit="0" vertical="center" wrapText="1"/>
    </xf>
    <xf borderId="17" fillId="0" fontId="3" numFmtId="0" xfId="0" applyBorder="1" applyFont="1"/>
    <xf borderId="18" fillId="0" fontId="3" numFmtId="0" xfId="0" applyBorder="1" applyFont="1"/>
    <xf borderId="19" fillId="3" fontId="4" numFmtId="0" xfId="0" applyBorder="1" applyFill="1" applyFont="1"/>
    <xf borderId="20" fillId="3" fontId="4" numFmtId="0" xfId="0" applyAlignment="1" applyBorder="1" applyFill="1" applyFont="1">
      <alignment horizontal="left" shrinkToFit="0" vertical="center" wrapText="1"/>
    </xf>
    <xf borderId="21" fillId="0" fontId="3" numFmtId="0" xfId="0" applyBorder="1" applyFont="1"/>
    <xf borderId="22" fillId="0" fontId="3" numFmtId="0" xfId="0" applyBorder="1" applyFont="1"/>
    <xf borderId="23" fillId="3" fontId="6" numFmtId="0" xfId="0" applyAlignment="1" applyBorder="1" applyFill="1" applyFont="1">
      <alignment horizontal="left" shrinkToFit="0" vertical="center" wrapText="1"/>
    </xf>
    <xf borderId="24" fillId="0" fontId="3" numFmtId="0" xfId="0" applyBorder="1" applyFont="1"/>
    <xf borderId="25" fillId="0" fontId="3" numFmtId="0" xfId="0" applyBorder="1" applyFont="1"/>
    <xf borderId="26" fillId="3" fontId="4" numFmtId="0" xfId="0" applyAlignment="1" applyBorder="1" applyFill="1" applyFont="1">
      <alignment shrinkToFit="0" vertical="center" wrapText="1"/>
    </xf>
    <xf borderId="27" fillId="3" fontId="4" numFmtId="0" xfId="0" applyAlignment="1" applyBorder="1" applyFill="1" applyFont="1">
      <alignment horizontal="right" shrinkToFit="0" vertical="center" wrapText="1"/>
    </xf>
    <xf borderId="28" fillId="0" fontId="3" numFmtId="0" xfId="0" applyBorder="1" applyFont="1"/>
    <xf borderId="29" fillId="0" fontId="3" numFmtId="0" xfId="0" applyBorder="1" applyFont="1"/>
    <xf borderId="27" fillId="3" fontId="6" numFmtId="0" xfId="0" applyAlignment="1" applyBorder="1" applyFill="1" applyFont="1">
      <alignment horizontal="left" shrinkToFit="0" vertical="center" wrapText="1"/>
    </xf>
    <xf borderId="30" fillId="3" fontId="4" numFmtId="0" xfId="0" applyBorder="1" applyFill="1" applyFont="1"/>
    <xf borderId="23" fillId="3" fontId="4" numFmtId="0" xfId="0" applyAlignment="1" applyBorder="1" applyFill="1" applyFont="1">
      <alignment horizontal="left" shrinkToFit="0" vertical="center" wrapText="1"/>
    </xf>
    <xf borderId="23" fillId="3" fontId="6" numFmtId="0" xfId="0" applyAlignment="1" applyBorder="1" applyFill="1" applyFont="1">
      <alignment horizontal="left"/>
    </xf>
    <xf borderId="23" fillId="3" fontId="4" numFmtId="0" xfId="0" applyAlignment="1" applyBorder="1" applyFill="1" applyFont="1">
      <alignment horizontal="right"/>
    </xf>
    <xf borderId="31" fillId="3" fontId="6" numFmtId="0" xfId="0" applyAlignment="1" applyBorder="1" applyFill="1" applyFont="1">
      <alignment horizontal="left"/>
    </xf>
    <xf borderId="32" fillId="5" fontId="7" numFmtId="0" xfId="0" applyAlignment="1" applyBorder="1" applyFill="1" applyFont="1">
      <alignment horizontal="center"/>
    </xf>
    <xf borderId="33" fillId="0" fontId="3" numFmtId="0" xfId="0" applyBorder="1" applyFont="1"/>
    <xf borderId="34" fillId="3" fontId="4" numFmtId="0" xfId="0" applyAlignment="1" applyBorder="1" applyFill="1" applyFont="1">
      <alignment horizontal="right"/>
    </xf>
    <xf borderId="20" fillId="3" fontId="6" numFmtId="0" xfId="0" applyAlignment="1" applyBorder="1" applyFill="1" applyFont="1">
      <alignment horizontal="left" vertical="center"/>
    </xf>
    <xf borderId="35" fillId="3" fontId="6" numFmtId="0" xfId="0" applyAlignment="1" applyBorder="1" applyFill="1" applyFont="1">
      <alignment vertical="center"/>
    </xf>
    <xf borderId="20" fillId="3" fontId="4" numFmtId="0" xfId="0" applyAlignment="1" applyBorder="1" applyFill="1" applyFont="1">
      <alignment vertical="center"/>
    </xf>
    <xf borderId="35" fillId="3" fontId="4" numFmtId="0" xfId="0" applyAlignment="1" applyBorder="1" applyFill="1" applyFont="1">
      <alignment vertical="center"/>
    </xf>
    <xf borderId="20" fillId="3" fontId="4" numFmtId="0" xfId="0" applyAlignment="1" applyBorder="1" applyFill="1" applyFont="1">
      <alignment horizontal="left" vertical="center"/>
    </xf>
    <xf borderId="35" fillId="3" fontId="6" numFmtId="0" xfId="0" applyAlignment="1" applyBorder="1" applyFill="1" applyFont="1">
      <alignment shrinkToFit="0" vertical="center" wrapText="1"/>
    </xf>
    <xf borderId="20" fillId="3" fontId="4" numFmtId="0" xfId="0" applyAlignment="1" applyBorder="1" applyFill="1" applyFont="1">
      <alignment horizontal="right" vertical="center"/>
    </xf>
    <xf borderId="20" fillId="3" fontId="6" numFmtId="0" xfId="0" applyAlignment="1" applyBorder="1" applyFill="1" applyFont="1">
      <alignment horizontal="center" vertical="center"/>
    </xf>
    <xf borderId="35" fillId="3" fontId="4" numFmtId="0" xfId="0" applyBorder="1" applyFill="1" applyFont="1"/>
    <xf borderId="35" fillId="3" fontId="4" numFmtId="0" xfId="0" applyAlignment="1" applyBorder="1" applyFill="1" applyFont="1">
      <alignment shrinkToFit="0" vertical="center" wrapText="1"/>
    </xf>
    <xf borderId="36" fillId="3" fontId="4" numFmtId="0" xfId="0" applyBorder="1" applyFill="1" applyFont="1"/>
    <xf borderId="37" fillId="3" fontId="4" numFmtId="0" xfId="0" applyAlignment="1" applyBorder="1" applyFill="1" applyFont="1">
      <alignment horizontal="right"/>
    </xf>
    <xf borderId="38" fillId="3" fontId="6" numFmtId="0" xfId="0" applyAlignment="1" applyBorder="1" applyFill="1" applyFont="1">
      <alignment horizontal="left" vertical="center"/>
    </xf>
    <xf borderId="39" fillId="0" fontId="3" numFmtId="0" xfId="0" applyBorder="1" applyFont="1"/>
    <xf borderId="40" fillId="0" fontId="3" numFmtId="0" xfId="0" applyBorder="1" applyFont="1"/>
    <xf borderId="1" fillId="3" fontId="6" numFmtId="0" xfId="0" applyAlignment="1" applyBorder="1" applyFill="1" applyFont="1">
      <alignment vertical="center"/>
    </xf>
    <xf borderId="41" fillId="6" fontId="8" numFmtId="0" xfId="0" applyAlignment="1" applyBorder="1" applyFill="1" applyFont="1">
      <alignment horizontal="center" vertical="center"/>
    </xf>
    <xf borderId="42" fillId="0" fontId="3" numFmtId="0" xfId="0" applyBorder="1" applyFont="1"/>
    <xf borderId="43" fillId="3" fontId="4" numFmtId="0" xfId="0" applyAlignment="1" applyBorder="1" applyFill="1" applyFont="1">
      <alignment vertical="center"/>
    </xf>
    <xf borderId="1" fillId="3" fontId="4" numFmtId="0" xfId="0" applyAlignment="1" applyBorder="1" applyFill="1" applyFont="1">
      <alignment vertical="center"/>
    </xf>
    <xf borderId="38" fillId="3" fontId="4" numFmtId="0" xfId="0" applyAlignment="1" applyBorder="1" applyFill="1" applyFont="1">
      <alignment horizontal="left" vertical="center"/>
    </xf>
    <xf borderId="1" fillId="3" fontId="6" numFmtId="0" xfId="0" applyAlignment="1" applyBorder="1" applyFill="1" applyFont="1">
      <alignment shrinkToFit="0" vertical="center" wrapText="1"/>
    </xf>
    <xf borderId="38" fillId="3" fontId="4" numFmtId="0" xfId="0" applyAlignment="1" applyBorder="1" applyFill="1" applyFont="1">
      <alignment horizontal="right" vertical="center"/>
    </xf>
    <xf borderId="41" fillId="6" fontId="6" numFmtId="0" xfId="0" applyAlignment="1" applyBorder="1" applyFill="1" applyFont="1">
      <alignment horizontal="center" vertical="center"/>
    </xf>
    <xf borderId="1" fillId="3" fontId="4" numFmtId="0" xfId="0" applyBorder="1" applyFill="1" applyFont="1"/>
    <xf borderId="1" fillId="3" fontId="4" numFmtId="0" xfId="0" applyAlignment="1" applyBorder="1" applyFill="1" applyFont="1">
      <alignment shrinkToFit="0" vertical="center" wrapText="1"/>
    </xf>
    <xf borderId="44" fillId="3" fontId="4" numFmtId="0" xfId="0" applyBorder="1" applyFill="1" applyFont="1"/>
    <xf borderId="38" fillId="3" fontId="4" numFmtId="0" xfId="0" applyAlignment="1" applyBorder="1" applyFill="1" applyFont="1">
      <alignment horizontal="center" vertical="center"/>
    </xf>
    <xf borderId="1" fillId="3" fontId="6" numFmtId="0" xfId="0" applyBorder="1" applyFill="1" applyFont="1"/>
    <xf borderId="38" fillId="3" fontId="4" numFmtId="0" xfId="0" applyAlignment="1" applyBorder="1" applyFill="1" applyFont="1">
      <alignment horizontal="left"/>
    </xf>
    <xf borderId="38" fillId="3" fontId="6" numFmtId="0" xfId="0" applyAlignment="1" applyBorder="1" applyFill="1" applyFont="1">
      <alignment horizontal="left"/>
    </xf>
    <xf borderId="16" fillId="0" fontId="9" numFmtId="0" xfId="0" applyAlignment="1" applyBorder="1" applyFont="1">
      <alignment horizontal="center" shrinkToFit="0" vertical="center" wrapText="1"/>
    </xf>
    <xf borderId="38" fillId="3" fontId="6" numFmtId="0" xfId="0" applyAlignment="1" applyBorder="1" applyFill="1" applyFont="1">
      <alignment horizontal="right" vertical="center"/>
    </xf>
    <xf borderId="41" fillId="6" fontId="6" numFmtId="0" xfId="0" applyAlignment="1" applyBorder="1" applyFill="1" applyFont="1">
      <alignment horizontal="center" shrinkToFit="0" vertical="center" wrapText="1"/>
    </xf>
    <xf borderId="41" fillId="6" fontId="6" numFmtId="49" xfId="0" applyAlignment="1" applyBorder="1" applyFill="1" applyFont="1" applyNumberFormat="1">
      <alignment horizontal="center" vertical="center"/>
    </xf>
    <xf borderId="45" fillId="3" fontId="4" numFmtId="0" xfId="0" applyBorder="1" applyFill="1" applyFont="1"/>
    <xf borderId="46" fillId="3" fontId="4" numFmtId="0" xfId="0" applyAlignment="1" applyBorder="1" applyFill="1" applyFont="1">
      <alignment horizontal="right"/>
    </xf>
    <xf borderId="47" fillId="3" fontId="4" numFmtId="0" xfId="0" applyAlignment="1" applyBorder="1" applyFill="1" applyFont="1">
      <alignment shrinkToFit="0" vertical="center" wrapText="1"/>
    </xf>
    <xf borderId="47" fillId="3" fontId="4" numFmtId="0" xfId="0" applyAlignment="1" applyBorder="1" applyFill="1" applyFont="1">
      <alignment vertical="center"/>
    </xf>
    <xf borderId="48" fillId="3" fontId="4" numFmtId="0" xfId="0" applyBorder="1" applyFill="1" applyFont="1"/>
    <xf borderId="23" fillId="3" fontId="6" numFmtId="0" xfId="0" applyAlignment="1" applyBorder="1" applyFill="1" applyFont="1">
      <alignment horizontal="right" shrinkToFit="0" vertical="center" wrapText="1"/>
    </xf>
    <xf borderId="49" fillId="3" fontId="4" numFmtId="0" xfId="0" applyBorder="1" applyFill="1" applyFont="1"/>
    <xf borderId="38" fillId="3" fontId="4" numFmtId="0" xfId="0" applyAlignment="1" applyBorder="1" applyFill="1" applyFont="1">
      <alignment vertical="center"/>
    </xf>
    <xf borderId="41" fillId="7" fontId="6" numFmtId="0" xfId="0" applyAlignment="1" applyBorder="1" applyFill="1" applyFont="1">
      <alignment horizontal="center" vertical="center"/>
    </xf>
    <xf borderId="41" fillId="8" fontId="6" numFmtId="0" xfId="0" applyAlignment="1" applyBorder="1" applyFill="1" applyFont="1">
      <alignment horizontal="center" vertical="center"/>
    </xf>
    <xf borderId="50" fillId="3" fontId="1" numFmtId="0" xfId="0" applyBorder="1" applyFill="1" applyFont="1"/>
    <xf borderId="41" fillId="5" fontId="7" numFmtId="0" xfId="0" applyAlignment="1" applyBorder="1" applyFill="1" applyFont="1">
      <alignment horizontal="center" vertical="center"/>
    </xf>
    <xf borderId="1" fillId="3" fontId="10" numFmtId="0" xfId="0" applyBorder="1" applyFill="1" applyFont="1"/>
    <xf borderId="41" fillId="9" fontId="7" numFmtId="0" xfId="0" applyAlignment="1" applyBorder="1" applyFill="1" applyFont="1">
      <alignment horizontal="center" vertical="center"/>
    </xf>
    <xf borderId="51" fillId="10" fontId="6" numFmtId="0" xfId="0" applyAlignment="1" applyBorder="1" applyFill="1" applyFont="1">
      <alignment horizontal="center" vertical="center"/>
    </xf>
    <xf borderId="52" fillId="0" fontId="3" numFmtId="0" xfId="0" applyBorder="1" applyFont="1"/>
    <xf borderId="53" fillId="0" fontId="3" numFmtId="0" xfId="0" applyBorder="1" applyFont="1"/>
    <xf borderId="51" fillId="10" fontId="6" numFmtId="0" xfId="0" applyAlignment="1" applyBorder="1" applyFill="1" applyFont="1">
      <alignment horizontal="center" shrinkToFit="0" vertical="center" wrapText="1"/>
    </xf>
    <xf borderId="1" fillId="3" fontId="1" numFmtId="0" xfId="0" applyBorder="1" applyFill="1" applyFont="1"/>
    <xf borderId="54" fillId="3" fontId="4" numFmtId="0" xfId="0" applyAlignment="1" applyBorder="1" applyFill="1" applyFont="1">
      <alignment horizontal="center"/>
    </xf>
    <xf borderId="55" fillId="0" fontId="3" numFmtId="0" xfId="0" applyBorder="1" applyFont="1"/>
    <xf borderId="56" fillId="0" fontId="3" numFmtId="0" xfId="0" applyBorder="1" applyFont="1"/>
    <xf borderId="57" fillId="0" fontId="3" numFmtId="0" xfId="0" applyBorder="1" applyFont="1"/>
    <xf borderId="41" fillId="10" fontId="4" numFmtId="0" xfId="0" applyAlignment="1" applyBorder="1" applyFill="1" applyFont="1">
      <alignment horizontal="center" vertical="center"/>
    </xf>
    <xf borderId="20" fillId="3" fontId="4" numFmtId="0" xfId="0" applyAlignment="1" applyBorder="1" applyFill="1" applyFont="1">
      <alignment horizontal="right" shrinkToFit="0" vertical="center" wrapText="1"/>
    </xf>
    <xf borderId="20" fillId="3" fontId="4" numFmtId="0" xfId="0" applyAlignment="1" applyBorder="1" applyFill="1" applyFont="1">
      <alignment horizontal="left"/>
    </xf>
    <xf borderId="38" fillId="3" fontId="4" numFmtId="0" xfId="0" applyAlignment="1" applyBorder="1" applyFill="1" applyFont="1">
      <alignment horizontal="right" shrinkToFit="0" vertical="center" wrapText="1"/>
    </xf>
    <xf borderId="41" fillId="10" fontId="4" numFmtId="0" xfId="0" applyAlignment="1" applyBorder="1" applyFill="1" applyFont="1">
      <alignment horizontal="center" shrinkToFit="0" vertical="center" wrapText="1"/>
    </xf>
    <xf borderId="20" fillId="3" fontId="4" numFmtId="0" xfId="0" applyAlignment="1" applyBorder="1" applyFill="1" applyFont="1">
      <alignment horizontal="center" vertical="center"/>
    </xf>
    <xf borderId="20" fillId="3" fontId="4" numFmtId="0" xfId="0" applyAlignment="1" applyBorder="1" applyFill="1" applyFont="1">
      <alignment horizontal="center" shrinkToFit="0" vertical="center" wrapText="1"/>
    </xf>
    <xf borderId="58" fillId="3" fontId="4" numFmtId="0" xfId="0" applyAlignment="1" applyBorder="1" applyFill="1" applyFont="1">
      <alignment horizontal="right"/>
    </xf>
    <xf borderId="59" fillId="3" fontId="6" numFmtId="0" xfId="0" applyAlignment="1" applyBorder="1" applyFill="1" applyFont="1">
      <alignment horizontal="left" vertical="center"/>
    </xf>
    <xf borderId="60" fillId="0" fontId="3" numFmtId="0" xfId="0" applyBorder="1" applyFont="1"/>
    <xf borderId="61" fillId="0" fontId="3" numFmtId="0" xfId="0" applyBorder="1" applyFont="1"/>
    <xf borderId="62" fillId="3" fontId="4" numFmtId="0" xfId="0" applyAlignment="1" applyBorder="1" applyFill="1" applyFont="1">
      <alignment shrinkToFit="0" vertical="center" wrapText="1"/>
    </xf>
    <xf borderId="62" fillId="3" fontId="4" numFmtId="0" xfId="0" applyAlignment="1" applyBorder="1" applyFill="1" applyFont="1">
      <alignment vertical="center"/>
    </xf>
    <xf borderId="59" fillId="3" fontId="4" numFmtId="0" xfId="0" applyAlignment="1" applyBorder="1" applyFill="1" applyFont="1">
      <alignment horizontal="left" vertical="center"/>
    </xf>
    <xf borderId="59" fillId="3" fontId="4" numFmtId="0" xfId="0" applyAlignment="1" applyBorder="1" applyFill="1" applyFont="1">
      <alignment horizontal="right" vertical="center"/>
    </xf>
    <xf borderId="59" fillId="3" fontId="6" numFmtId="0" xfId="0" applyAlignment="1" applyBorder="1" applyFill="1" applyFont="1">
      <alignment horizontal="center" vertical="center"/>
    </xf>
    <xf borderId="59" fillId="3" fontId="4" numFmtId="0" xfId="0" applyAlignment="1" applyBorder="1" applyFill="1" applyFont="1">
      <alignment horizontal="left"/>
    </xf>
    <xf borderId="63" fillId="3" fontId="4" numFmtId="0" xfId="0" applyBorder="1" applyFill="1" applyFont="1"/>
    <xf borderId="38" fillId="3" fontId="4" numFmtId="0" xfId="0" applyAlignment="1" applyBorder="1" applyFill="1" applyFont="1">
      <alignment horizontal="center" shrinkToFit="0" vertical="center" wrapText="1"/>
    </xf>
    <xf borderId="32" fillId="5" fontId="7" numFmtId="0" xfId="0" applyAlignment="1" applyBorder="1" applyFill="1" applyFont="1">
      <alignment horizontal="center" vertical="center"/>
    </xf>
    <xf borderId="64" fillId="0" fontId="6" numFmtId="0" xfId="0" applyAlignment="1" applyBorder="1" applyFont="1">
      <alignment horizontal="center"/>
    </xf>
    <xf borderId="65" fillId="0" fontId="3" numFmtId="0" xfId="0" applyBorder="1" applyFont="1"/>
    <xf borderId="38" fillId="3" fontId="4" numFmtId="0" xfId="0" applyAlignment="1" applyBorder="1" applyFill="1" applyFont="1">
      <alignment horizontal="left" shrinkToFit="0" vertical="center" wrapText="1"/>
    </xf>
    <xf borderId="51" fillId="0" fontId="6" numFmtId="0" xfId="0" applyAlignment="1" applyBorder="1" applyFont="1">
      <alignment horizontal="center" shrinkToFit="0" vertical="center" wrapText="1"/>
    </xf>
    <xf borderId="41" fillId="0" fontId="6" numFmtId="0" xfId="0" applyAlignment="1" applyBorder="1" applyFont="1">
      <alignment horizontal="center" shrinkToFit="0" vertical="center" wrapText="1"/>
    </xf>
    <xf borderId="41" fillId="3" fontId="4" numFmtId="0" xfId="0" applyAlignment="1" applyBorder="1" applyFill="1" applyFont="1">
      <alignment horizontal="center" vertical="center"/>
    </xf>
    <xf borderId="41" fillId="3" fontId="4" numFmtId="0" xfId="0" applyAlignment="1" applyBorder="1" applyFill="1" applyFont="1">
      <alignment horizontal="center" shrinkToFit="0" vertical="center" wrapText="1"/>
    </xf>
    <xf borderId="66" fillId="3" fontId="4" numFmtId="0" xfId="0" applyAlignment="1" applyBorder="1" applyFill="1" applyFont="1">
      <alignment horizontal="right" shrinkToFit="0" vertical="center" wrapText="1"/>
    </xf>
    <xf borderId="67" fillId="3" fontId="4" numFmtId="0" xfId="0" applyAlignment="1" applyBorder="1" applyFill="1" applyFont="1">
      <alignment horizontal="left" shrinkToFit="0" vertical="center" wrapText="1"/>
    </xf>
    <xf borderId="68" fillId="0" fontId="3" numFmtId="0" xfId="0" applyBorder="1" applyFont="1"/>
    <xf borderId="69" fillId="3" fontId="4" numFmtId="0" xfId="0" applyAlignment="1" applyBorder="1" applyFill="1" applyFont="1">
      <alignment shrinkToFit="0" vertical="center" wrapText="1"/>
    </xf>
    <xf borderId="70" fillId="4" fontId="4" numFmtId="0" xfId="0" applyAlignment="1" applyBorder="1" applyFill="1" applyFont="1">
      <alignment shrinkToFit="0" vertical="center" wrapText="1"/>
    </xf>
    <xf borderId="23" fillId="4" fontId="7" numFmtId="0" xfId="0" applyAlignment="1" applyBorder="1" applyFill="1" applyFont="1">
      <alignment horizontal="center" shrinkToFit="0" vertical="center" wrapText="1"/>
    </xf>
    <xf borderId="49" fillId="4" fontId="6" numFmtId="0" xfId="0" applyAlignment="1" applyBorder="1" applyFill="1" applyFont="1">
      <alignment shrinkToFit="0" vertical="center" wrapText="1"/>
    </xf>
    <xf borderId="71" fillId="0" fontId="3" numFmtId="0" xfId="0" applyBorder="1" applyFont="1"/>
    <xf borderId="72" fillId="3" fontId="4" numFmtId="0" xfId="0" applyAlignment="1" applyBorder="1" applyFill="1" applyFont="1">
      <alignment shrinkToFit="0" vertical="center" wrapText="1"/>
    </xf>
    <xf borderId="72" fillId="3" fontId="6" numFmtId="0" xfId="0" applyAlignment="1" applyBorder="1" applyFill="1" applyFont="1">
      <alignment vertical="center"/>
    </xf>
    <xf borderId="73" fillId="3" fontId="6" numFmtId="0" xfId="0" applyAlignment="1" applyBorder="1" applyFill="1" applyFont="1">
      <alignment horizontal="left" vertical="center"/>
    </xf>
    <xf borderId="74" fillId="0" fontId="3" numFmtId="0" xfId="0" applyBorder="1" applyFont="1"/>
    <xf borderId="72" fillId="3" fontId="4" numFmtId="0" xfId="0" applyAlignment="1" applyBorder="1" applyFill="1" applyFont="1">
      <alignment vertical="center"/>
    </xf>
    <xf borderId="72" fillId="3" fontId="7" numFmtId="0" xfId="0" applyAlignment="1" applyBorder="1" applyFill="1" applyFont="1">
      <alignment shrinkToFit="0" vertical="center" wrapText="1"/>
    </xf>
    <xf borderId="75" fillId="3" fontId="4" numFmtId="0" xfId="0" applyAlignment="1" applyBorder="1" applyFill="1" applyFont="1">
      <alignment horizontal="center" shrinkToFit="0" vertical="top" wrapText="1"/>
    </xf>
    <xf borderId="76" fillId="0" fontId="3" numFmtId="0" xfId="0" applyBorder="1" applyFont="1"/>
    <xf borderId="77" fillId="0" fontId="3" numFmtId="0" xfId="0" applyBorder="1" applyFont="1"/>
    <xf borderId="78" fillId="0" fontId="3" numFmtId="0" xfId="0" applyBorder="1" applyFont="1"/>
    <xf borderId="79" fillId="0" fontId="3" numFmtId="0" xfId="0" applyBorder="1" applyFont="1"/>
    <xf borderId="80" fillId="0" fontId="3" numFmtId="0" xfId="0" applyBorder="1" applyFont="1"/>
    <xf borderId="81" fillId="3" fontId="4" numFmtId="0" xfId="0" applyAlignment="1" applyBorder="1" applyFill="1" applyFont="1">
      <alignment horizontal="center" shrinkToFit="0" vertical="top" wrapText="1"/>
    </xf>
    <xf borderId="82" fillId="3" fontId="4" numFmtId="0" xfId="0" applyAlignment="1" applyBorder="1" applyFill="1" applyFont="1">
      <alignment horizontal="center" shrinkToFit="0" vertical="top" wrapText="1"/>
    </xf>
    <xf borderId="83" fillId="0" fontId="3" numFmtId="0" xfId="0" applyBorder="1" applyFont="1"/>
    <xf borderId="38" fillId="3" fontId="6" numFmtId="0" xfId="0" applyAlignment="1" applyBorder="1" applyFill="1" applyFont="1">
      <alignment vertical="center"/>
    </xf>
    <xf borderId="84" fillId="0" fontId="3" numFmtId="0" xfId="0" applyBorder="1" applyFont="1"/>
    <xf borderId="54" fillId="3" fontId="6" numFmtId="49" xfId="0" applyAlignment="1" applyBorder="1" applyFill="1" applyFont="1" applyNumberFormat="1">
      <alignment horizontal="center"/>
    </xf>
    <xf borderId="85" fillId="0" fontId="3" numFmtId="0" xfId="0" applyBorder="1" applyFont="1"/>
    <xf borderId="86" fillId="3" fontId="6" numFmtId="49" xfId="0" applyAlignment="1" applyBorder="1" applyFill="1" applyFont="1" applyNumberFormat="1">
      <alignment horizontal="center" shrinkToFit="0" vertical="center" wrapText="1"/>
    </xf>
    <xf borderId="87" fillId="3" fontId="6" numFmtId="164" xfId="0" applyAlignment="1" applyBorder="1" applyFill="1" applyFont="1" applyNumberFormat="1">
      <alignment horizontal="center" shrinkToFit="0" vertical="center" wrapText="1"/>
    </xf>
    <xf borderId="58" fillId="3" fontId="4" numFmtId="0" xfId="0" applyBorder="1" applyFill="1" applyFont="1"/>
    <xf borderId="88" fillId="3" fontId="4" numFmtId="0" xfId="0" applyAlignment="1" applyBorder="1" applyFill="1" applyFont="1">
      <alignment shrinkToFit="0" vertical="center" wrapText="1"/>
    </xf>
    <xf borderId="59" fillId="3" fontId="4" numFmtId="0" xfId="0" applyAlignment="1" applyBorder="1" applyFill="1" applyFont="1">
      <alignment horizontal="center" shrinkToFit="0" vertical="center" wrapText="1"/>
    </xf>
    <xf borderId="89" fillId="3" fontId="4" numFmtId="0" xfId="0" applyBorder="1" applyFill="1" applyFont="1"/>
    <xf borderId="59" fillId="3" fontId="4" numFmtId="0" xfId="0" applyAlignment="1" applyBorder="1" applyFill="1" applyFont="1">
      <alignment horizontal="left" shrinkToFit="0" vertical="center" wrapText="1"/>
    </xf>
    <xf borderId="90" fillId="0" fontId="3" numFmtId="0" xfId="0" applyBorder="1" applyFont="1"/>
    <xf borderId="82" fillId="3" fontId="4" numFmtId="0" xfId="0" applyAlignment="1" applyBorder="1" applyFill="1" applyFont="1">
      <alignment horizontal="center" shrinkToFit="0" vertical="center" wrapText="1"/>
    </xf>
    <xf borderId="81" fillId="3" fontId="4" numFmtId="0" xfId="0" applyAlignment="1" applyBorder="1" applyFill="1" applyFont="1">
      <alignment horizontal="center" shrinkToFit="0" vertical="center" wrapText="1"/>
    </xf>
    <xf borderId="86" fillId="3" fontId="6" numFmtId="164" xfId="0" applyAlignment="1" applyBorder="1" applyFill="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000000"/>
                </a:solidFill>
                <a:latin typeface="+mn-lt"/>
              </a:defRPr>
            </a:pPr>
            <a:r>
              <a:rPr b="1" i="0" sz="1600">
                <a:solidFill>
                  <a:srgbClr val="000000"/>
                </a:solidFill>
                <a:latin typeface="+mn-lt"/>
              </a:rPr>
              <a:t>GRÁFICA DE DESEMPEÑO DE SISTEMA DE BOMBEO</a:t>
            </a:r>
          </a:p>
        </c:rich>
      </c:tx>
      <c:layout>
        <c:manualLayout>
          <c:xMode val="edge"/>
          <c:yMode val="edge"/>
          <c:x val="0.2576094678156223"/>
          <c:y val="0.0017546344787226012"/>
        </c:manualLayout>
      </c:layout>
      <c:overlay val="0"/>
    </c:title>
    <c:plotArea>
      <c:layout>
        <c:manualLayout>
          <c:xMode val="edge"/>
          <c:yMode val="edge"/>
          <c:x val="0.09888318405986818"/>
          <c:y val="0.19481688846521494"/>
          <c:w val="0.8597940063905865"/>
          <c:h val="0.6446765412064672"/>
        </c:manualLayout>
      </c:layout>
      <c:scatterChart>
        <c:scatterStyle val="lineMarker"/>
        <c:ser>
          <c:idx val="0"/>
          <c:order val="0"/>
          <c:tx>
            <c:v>Ajuste de velocidad</c:v>
          </c:tx>
          <c:spPr>
            <a:ln>
              <a:noFill/>
            </a:ln>
          </c:spPr>
          <c:marker>
            <c:symbol val="circle"/>
            <c:size val="7"/>
            <c:spPr>
              <a:solidFill>
                <a:srgbClr val="F18B21"/>
              </a:solidFill>
              <a:ln cmpd="sng">
                <a:solidFill>
                  <a:srgbClr val="F18B21"/>
                </a:solidFill>
              </a:ln>
            </c:spPr>
          </c:marker>
          <c:dPt>
            <c:idx val="6"/>
            <c:marker>
              <c:symbol val="none"/>
            </c:marker>
          </c:dPt>
          <c:xVal>
            <c:numRef>
              <c:f>Grafica!$AV$13:$AV$17</c:f>
            </c:numRef>
          </c:xVal>
          <c:yVal>
            <c:numRef>
              <c:f>Grafica!$BJ$13:$BJ$17</c:f>
              <c:numCache/>
            </c:numRef>
          </c:yVal>
        </c:ser>
        <c:ser>
          <c:idx val="1"/>
          <c:order val="1"/>
          <c:tx>
            <c:v>Desempeño en prueba</c:v>
          </c:tx>
          <c:spPr>
            <a:ln>
              <a:noFill/>
            </a:ln>
          </c:spPr>
          <c:marker>
            <c:symbol val="circle"/>
            <c:size val="7"/>
            <c:spPr>
              <a:solidFill>
                <a:schemeClr val="accent2"/>
              </a:solidFill>
              <a:ln cmpd="sng">
                <a:solidFill>
                  <a:schemeClr val="accent2"/>
                </a:solidFill>
              </a:ln>
            </c:spPr>
          </c:marker>
          <c:xVal>
            <c:numRef>
              <c:f>Grafica!$K$13:$K$17</c:f>
            </c:numRef>
          </c:xVal>
          <c:yVal>
            <c:numRef>
              <c:f>Grafica!$AM$13:$AM$17</c:f>
              <c:numCache/>
            </c:numRef>
          </c:yVal>
        </c:ser>
        <c:ser>
          <c:idx val="2"/>
          <c:order val="2"/>
          <c:tx>
            <c:v>Datos de fábrica</c:v>
          </c:tx>
          <c:spPr>
            <a:ln>
              <a:noFill/>
            </a:ln>
          </c:spPr>
          <c:marker>
            <c:symbol val="circle"/>
            <c:size val="7"/>
            <c:spPr>
              <a:solidFill>
                <a:srgbClr val="005979"/>
              </a:solidFill>
              <a:ln cmpd="sng">
                <a:solidFill>
                  <a:srgbClr val="005979"/>
                </a:solidFill>
              </a:ln>
            </c:spPr>
          </c:marker>
          <c:xVal>
            <c:numRef>
              <c:f>Grafica!$BS$13:$BS$15</c:f>
            </c:numRef>
          </c:xVal>
          <c:yVal>
            <c:numRef>
              <c:f>Grafica!$CG$13:$CG$15</c:f>
              <c:numCache/>
            </c:numRef>
          </c:yVal>
        </c:ser>
        <c:ser>
          <c:idx val="3"/>
          <c:order val="3"/>
          <c:tx>
            <c:v>Aceptación NFPA 25 (-5%)</c:v>
          </c:tx>
          <c:spPr>
            <a:ln>
              <a:noFill/>
            </a:ln>
          </c:spPr>
          <c:marker>
            <c:symbol val="circle"/>
            <c:size val="7"/>
            <c:spPr>
              <a:solidFill>
                <a:srgbClr val="FF0000"/>
              </a:solidFill>
              <a:ln cmpd="sng">
                <a:solidFill>
                  <a:srgbClr val="FF0000"/>
                </a:solidFill>
              </a:ln>
            </c:spPr>
          </c:marker>
          <c:xVal>
            <c:numRef>
              <c:f>Grafica!$CP$13:$CP$15</c:f>
            </c:numRef>
          </c:xVal>
          <c:yVal>
            <c:numRef>
              <c:f>Grafica!$DD$13:$DD$15</c:f>
              <c:numCache/>
            </c:numRef>
          </c:yVal>
        </c:ser>
        <c:dLbls>
          <c:showLegendKey val="0"/>
          <c:showVal val="0"/>
          <c:showCatName val="0"/>
          <c:showSerName val="0"/>
          <c:showPercent val="0"/>
          <c:showBubbleSize val="0"/>
        </c:dLbls>
        <c:axId val="1622411268"/>
        <c:axId val="249112909"/>
      </c:scatterChart>
      <c:valAx>
        <c:axId val="162241126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i="0" sz="1000">
                    <a:solidFill>
                      <a:srgbClr val="000000"/>
                    </a:solidFill>
                    <a:latin typeface="Arial"/>
                  </a:defRPr>
                </a:pPr>
                <a:r>
                  <a:rPr b="1" i="0" sz="1000">
                    <a:solidFill>
                      <a:srgbClr val="000000"/>
                    </a:solidFill>
                    <a:latin typeface="Arial"/>
                  </a:rPr>
                  <a:t>Flujo (GPM)</a:t>
                </a:r>
              </a:p>
            </c:rich>
          </c:tx>
          <c:layout>
            <c:manualLayout>
              <c:xMode val="edge"/>
              <c:yMode val="edge"/>
              <c:x val="0.46621420252723866"/>
              <c:y val="0.9194614160731878"/>
            </c:manualLayout>
          </c:layout>
          <c:overlay val="0"/>
        </c:title>
        <c:numFmt formatCode="General" sourceLinked="1"/>
        <c:majorTickMark val="cross"/>
        <c:minorTickMark val="in"/>
        <c:tickLblPos val="nextTo"/>
        <c:spPr>
          <a:ln/>
        </c:spPr>
        <c:txPr>
          <a:bodyPr rot="0"/>
          <a:lstStyle/>
          <a:p>
            <a:pPr lvl="0">
              <a:defRPr b="0" i="0" sz="900">
                <a:solidFill>
                  <a:srgbClr val="000000"/>
                </a:solidFill>
                <a:latin typeface="Arial"/>
              </a:defRPr>
            </a:pPr>
          </a:p>
        </c:txPr>
        <c:crossAx val="249112909"/>
      </c:valAx>
      <c:valAx>
        <c:axId val="2491129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sz="1000">
                    <a:solidFill>
                      <a:srgbClr val="000000"/>
                    </a:solidFill>
                    <a:latin typeface="Arial"/>
                  </a:defRPr>
                </a:pPr>
                <a:r>
                  <a:rPr b="1" i="0" sz="1000">
                    <a:solidFill>
                      <a:srgbClr val="000000"/>
                    </a:solidFill>
                    <a:latin typeface="Arial"/>
                  </a:rPr>
                  <a:t>Presión neta (PSI)</a:t>
                </a:r>
              </a:p>
            </c:rich>
          </c:tx>
          <c:layout>
            <c:manualLayout>
              <c:xMode val="edge"/>
              <c:yMode val="edge"/>
              <c:x val="0.019253797944860363"/>
              <c:y val="0.3223533893935244"/>
            </c:manualLayout>
          </c:layout>
          <c:overlay val="0"/>
        </c:title>
        <c:numFmt formatCode="General" sourceLinked="1"/>
        <c:majorTickMark val="cross"/>
        <c:minorTickMark val="in"/>
        <c:tickLblPos val="nextTo"/>
        <c:spPr>
          <a:ln/>
        </c:spPr>
        <c:txPr>
          <a:bodyPr rot="0"/>
          <a:lstStyle/>
          <a:p>
            <a:pPr lvl="0">
              <a:defRPr b="0" i="0" sz="900">
                <a:solidFill>
                  <a:srgbClr val="000000"/>
                </a:solidFill>
                <a:latin typeface="Arial"/>
              </a:defRPr>
            </a:pPr>
          </a:p>
        </c:txPr>
        <c:crossAx val="1622411268"/>
      </c:valAx>
    </c:plotArea>
    <c:legend>
      <c:legendPos val="t"/>
      <c:legendEntry>
        <c:idx val="0"/>
        <c:txPr>
          <a:bodyPr/>
          <a:lstStyle/>
          <a:p>
            <a:pPr lvl="0">
              <a:defRPr b="0" i="0" sz="800">
                <a:solidFill>
                  <a:srgbClr val="000000"/>
                </a:solidFill>
                <a:latin typeface="+mn-lt"/>
              </a:defRPr>
            </a:pPr>
          </a:p>
        </c:txPr>
      </c:legendEntry>
      <c:legendEntry>
        <c:idx val="1"/>
        <c:txPr>
          <a:bodyPr/>
          <a:lstStyle/>
          <a:p>
            <a:pPr lvl="0">
              <a:defRPr b="0" i="0" sz="800">
                <a:solidFill>
                  <a:srgbClr val="000000"/>
                </a:solidFill>
                <a:latin typeface="+mn-lt"/>
              </a:defRPr>
            </a:pPr>
          </a:p>
        </c:txPr>
      </c:legendEntry>
      <c:legendEntry>
        <c:idx val="2"/>
        <c:txPr>
          <a:bodyPr/>
          <a:lstStyle/>
          <a:p>
            <a:pPr lvl="0">
              <a:defRPr b="0" i="0" sz="800">
                <a:solidFill>
                  <a:srgbClr val="000000"/>
                </a:solidFill>
                <a:latin typeface="+mn-lt"/>
              </a:defRPr>
            </a:pPr>
          </a:p>
        </c:txPr>
      </c:legendEntry>
      <c:layout>
        <c:manualLayout>
          <c:xMode val="edge"/>
          <c:yMode val="edge"/>
          <c:x val="0.15418276482948656"/>
          <c:y val="0.09574222428734623"/>
        </c:manualLayout>
      </c:layout>
      <c:overlay val="0"/>
      <c:txPr>
        <a:bodyPr/>
        <a:lstStyle/>
        <a:p>
          <a:pPr lvl="0">
            <a:defRPr b="0" i="0" sz="800">
              <a:solidFill>
                <a:srgbClr val="000000"/>
              </a:solidFill>
              <a:latin typeface="Arial"/>
            </a:defRPr>
          </a:pPr>
        </a:p>
      </c:txPr>
    </c:legend>
    <c:plotVisOnly val="1"/>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57150</xdr:colOff>
      <xdr:row>18</xdr:row>
      <xdr:rowOff>0</xdr:rowOff>
    </xdr:from>
    <xdr:ext cx="8201025" cy="291465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14" width="1.29"/>
    <col customWidth="1" min="115" max="115" width="1.14"/>
  </cols>
  <sheetData>
    <row r="1" ht="6.0" customHeight="1">
      <c r="A1" s="1"/>
      <c r="B1" s="2"/>
      <c r="C1" s="2"/>
      <c r="D1" s="2"/>
      <c r="E1" s="2"/>
      <c r="F1" s="2"/>
      <c r="G1" s="2"/>
      <c r="H1" s="2"/>
      <c r="I1" s="2"/>
      <c r="J1" s="2"/>
      <c r="K1" s="2"/>
      <c r="L1" s="2"/>
      <c r="M1" s="2"/>
      <c r="N1" s="2"/>
      <c r="O1" s="2"/>
      <c r="P1" s="2"/>
      <c r="Q1" s="2"/>
      <c r="R1" s="2"/>
      <c r="S1" s="2" t="s">
        <v>0</v>
      </c>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1"/>
    </row>
    <row r="2" ht="12.75" customHeight="1">
      <c r="A2" s="1"/>
      <c r="B2" s="3" t="s">
        <v>0</v>
      </c>
      <c r="C2" s="4"/>
      <c r="D2" s="4"/>
      <c r="E2" s="4"/>
      <c r="F2" s="4"/>
      <c r="G2" s="4"/>
      <c r="H2" s="4"/>
      <c r="I2" s="4"/>
      <c r="J2" s="4"/>
      <c r="K2" s="4"/>
      <c r="L2" s="4"/>
      <c r="M2" s="4"/>
      <c r="N2" s="4"/>
      <c r="O2" s="4"/>
      <c r="P2" s="4"/>
      <c r="Q2" s="4"/>
      <c r="R2" s="4"/>
      <c r="S2" s="4"/>
      <c r="T2" s="4"/>
      <c r="U2" s="4"/>
      <c r="V2" s="4"/>
      <c r="W2" s="5"/>
      <c r="X2" s="6"/>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7"/>
      <c r="DK2" s="1"/>
    </row>
    <row r="3" ht="12.75" customHeight="1">
      <c r="A3" s="1"/>
      <c r="B3" s="8"/>
      <c r="W3" s="9"/>
      <c r="X3" s="10"/>
      <c r="DJ3" s="11"/>
      <c r="DK3" s="1"/>
    </row>
    <row r="4" ht="12.75" customHeight="1">
      <c r="A4" s="1"/>
      <c r="B4" s="8"/>
      <c r="W4" s="9"/>
      <c r="X4" s="10"/>
      <c r="DJ4" s="11"/>
      <c r="DK4" s="1"/>
    </row>
    <row r="5" ht="12.75" customHeight="1">
      <c r="A5" s="1"/>
      <c r="B5" s="12"/>
      <c r="C5" s="13"/>
      <c r="D5" s="13"/>
      <c r="E5" s="13"/>
      <c r="F5" s="13"/>
      <c r="G5" s="13"/>
      <c r="H5" s="13"/>
      <c r="I5" s="13"/>
      <c r="J5" s="13"/>
      <c r="K5" s="13"/>
      <c r="L5" s="13"/>
      <c r="M5" s="13"/>
      <c r="N5" s="13"/>
      <c r="O5" s="13"/>
      <c r="P5" s="13"/>
      <c r="Q5" s="13"/>
      <c r="R5" s="13"/>
      <c r="S5" s="13"/>
      <c r="T5" s="13"/>
      <c r="U5" s="13"/>
      <c r="V5" s="13"/>
      <c r="W5" s="14"/>
      <c r="X5" s="15"/>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6"/>
      <c r="DK5" s="1"/>
    </row>
    <row r="6" ht="20.25" customHeight="1">
      <c r="A6" s="1"/>
      <c r="B6" s="17" t="str">
        <f>UPPER("F-SER-034 Prueba de Desempeño de Sistema de Bombeo ")</f>
        <v>F-SER-034 PRUEBA DE DESEMPEÑO DE SISTEMA DE BOMBEO </v>
      </c>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9"/>
      <c r="DK6" s="1"/>
    </row>
    <row r="7" ht="12.75" customHeight="1">
      <c r="A7" s="1"/>
      <c r="B7" s="20"/>
      <c r="C7" s="21" t="s">
        <v>1</v>
      </c>
      <c r="D7" s="22"/>
      <c r="E7" s="22"/>
      <c r="F7" s="22"/>
      <c r="G7" s="22"/>
      <c r="H7" s="22"/>
      <c r="I7" s="22"/>
      <c r="J7" s="22"/>
      <c r="K7" s="22"/>
      <c r="L7" s="22"/>
      <c r="M7" s="22"/>
      <c r="N7" s="22"/>
      <c r="O7" s="22"/>
      <c r="P7" s="22"/>
      <c r="Q7" s="23"/>
      <c r="R7" s="24" t="s">
        <v>2</v>
      </c>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6"/>
      <c r="BM7" s="27"/>
      <c r="BN7" s="27"/>
      <c r="BO7" s="27"/>
      <c r="BP7" s="27"/>
      <c r="BQ7" s="27"/>
      <c r="BR7" s="27"/>
      <c r="BS7" s="28" t="s">
        <v>3</v>
      </c>
      <c r="BT7" s="29"/>
      <c r="BU7" s="29"/>
      <c r="BV7" s="29"/>
      <c r="BW7" s="29"/>
      <c r="BX7" s="29"/>
      <c r="BY7" s="29"/>
      <c r="BZ7" s="29"/>
      <c r="CA7" s="29"/>
      <c r="CB7" s="30"/>
      <c r="CC7" s="31" t="s">
        <v>4</v>
      </c>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30"/>
    </row>
    <row r="8" ht="12.75" customHeight="1">
      <c r="A8" s="1"/>
      <c r="B8" s="32"/>
      <c r="C8" s="33" t="s">
        <v>5</v>
      </c>
      <c r="D8" s="25"/>
      <c r="E8" s="25"/>
      <c r="F8" s="25"/>
      <c r="G8" s="25"/>
      <c r="H8" s="25"/>
      <c r="I8" s="25"/>
      <c r="J8" s="25"/>
      <c r="K8" s="25"/>
      <c r="L8" s="25"/>
      <c r="M8" s="25"/>
      <c r="N8" s="25"/>
      <c r="O8" s="25"/>
      <c r="P8" s="25"/>
      <c r="Q8" s="26"/>
      <c r="R8" s="34" t="s">
        <v>6</v>
      </c>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6"/>
      <c r="BE8" s="35" t="s">
        <v>7</v>
      </c>
      <c r="BF8" s="25"/>
      <c r="BG8" s="25"/>
      <c r="BH8" s="25"/>
      <c r="BI8" s="25"/>
      <c r="BJ8" s="26"/>
      <c r="BK8" s="36" t="s">
        <v>8</v>
      </c>
      <c r="BL8" s="36"/>
      <c r="BM8" s="36"/>
      <c r="BN8" s="36"/>
      <c r="BO8" s="36"/>
      <c r="BP8" s="36"/>
      <c r="BQ8" s="36"/>
      <c r="BR8" s="36"/>
      <c r="BS8" s="36"/>
      <c r="BT8" s="36"/>
      <c r="BU8" s="36"/>
      <c r="BV8" s="36"/>
      <c r="BW8" s="36"/>
      <c r="BX8" s="36"/>
      <c r="BY8" s="36"/>
      <c r="BZ8" s="36"/>
      <c r="CA8" s="36"/>
      <c r="CB8" s="36"/>
      <c r="CC8" s="31" t="s">
        <v>4</v>
      </c>
      <c r="CD8" s="29"/>
      <c r="CE8" s="29"/>
      <c r="CF8" s="29"/>
      <c r="CG8" s="29"/>
      <c r="CH8" s="29"/>
      <c r="CI8" s="29"/>
      <c r="CJ8" s="29"/>
      <c r="CK8" s="29"/>
      <c r="CL8" s="29"/>
      <c r="CM8" s="29"/>
      <c r="CN8" s="29"/>
      <c r="CO8" s="29"/>
      <c r="CP8" s="29"/>
      <c r="CQ8" s="29"/>
      <c r="CR8" s="29"/>
      <c r="CS8" s="29"/>
      <c r="CT8" s="29"/>
      <c r="CU8" s="29"/>
      <c r="CV8" s="29"/>
      <c r="CW8" s="29"/>
      <c r="CX8" s="29"/>
      <c r="CY8" s="29"/>
      <c r="CZ8" s="29"/>
      <c r="DA8" s="29"/>
      <c r="DB8" s="29"/>
      <c r="DC8" s="29"/>
      <c r="DD8" s="29"/>
      <c r="DE8" s="29"/>
      <c r="DF8" s="29"/>
      <c r="DG8" s="29"/>
      <c r="DH8" s="29"/>
      <c r="DI8" s="29"/>
      <c r="DJ8" s="29"/>
      <c r="DK8" s="30"/>
    </row>
    <row r="9" ht="12.75" customHeight="1">
      <c r="A9" s="1"/>
      <c r="B9" s="37" t="s">
        <v>9</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29"/>
      <c r="CR9" s="29"/>
      <c r="CS9" s="29"/>
      <c r="CT9" s="29"/>
      <c r="CU9" s="29"/>
      <c r="CV9" s="29"/>
      <c r="CW9" s="29"/>
      <c r="CX9" s="29"/>
      <c r="CY9" s="29"/>
      <c r="CZ9" s="29"/>
      <c r="DA9" s="29"/>
      <c r="DB9" s="29"/>
      <c r="DC9" s="29"/>
      <c r="DD9" s="29"/>
      <c r="DE9" s="29"/>
      <c r="DF9" s="29"/>
      <c r="DG9" s="29"/>
      <c r="DH9" s="29"/>
      <c r="DI9" s="29"/>
      <c r="DJ9" s="38"/>
      <c r="DK9" s="1"/>
    </row>
    <row r="10" ht="4.5" customHeight="1">
      <c r="A10" s="1"/>
      <c r="B10" s="39"/>
      <c r="C10" s="40"/>
      <c r="D10" s="22"/>
      <c r="E10" s="22"/>
      <c r="F10" s="22"/>
      <c r="G10" s="22"/>
      <c r="H10" s="23"/>
      <c r="I10" s="41"/>
      <c r="J10" s="41"/>
      <c r="K10" s="41"/>
      <c r="L10" s="42"/>
      <c r="M10" s="22"/>
      <c r="N10" s="22"/>
      <c r="O10" s="22"/>
      <c r="P10" s="22"/>
      <c r="Q10" s="22"/>
      <c r="R10" s="23"/>
      <c r="S10" s="43"/>
      <c r="T10" s="43"/>
      <c r="U10" s="43"/>
      <c r="V10" s="44"/>
      <c r="W10" s="22"/>
      <c r="X10" s="22"/>
      <c r="Y10" s="22"/>
      <c r="Z10" s="23"/>
      <c r="AA10" s="45"/>
      <c r="AB10" s="45"/>
      <c r="AC10" s="45"/>
      <c r="AD10" s="45"/>
      <c r="AE10" s="45"/>
      <c r="AF10" s="45"/>
      <c r="AG10" s="45"/>
      <c r="AH10" s="46"/>
      <c r="AI10" s="22"/>
      <c r="AJ10" s="22"/>
      <c r="AK10" s="22"/>
      <c r="AL10" s="23"/>
      <c r="AM10" s="47"/>
      <c r="AN10" s="22"/>
      <c r="AO10" s="22"/>
      <c r="AP10" s="22"/>
      <c r="AQ10" s="22"/>
      <c r="AR10" s="22"/>
      <c r="AS10" s="22"/>
      <c r="AT10" s="22"/>
      <c r="AU10" s="22"/>
      <c r="AV10" s="22"/>
      <c r="AW10" s="22"/>
      <c r="AX10" s="22"/>
      <c r="AY10" s="22"/>
      <c r="AZ10" s="22"/>
      <c r="BA10" s="22"/>
      <c r="BB10" s="22"/>
      <c r="BC10" s="22"/>
      <c r="BD10" s="22"/>
      <c r="BE10" s="22"/>
      <c r="BF10" s="23"/>
      <c r="BG10" s="41"/>
      <c r="BH10" s="41"/>
      <c r="BI10" s="48"/>
      <c r="BJ10" s="48"/>
      <c r="BK10" s="48"/>
      <c r="BL10" s="48"/>
      <c r="BM10" s="48"/>
      <c r="BN10" s="47"/>
      <c r="BO10" s="22"/>
      <c r="BP10" s="22"/>
      <c r="BQ10" s="22"/>
      <c r="BR10" s="22"/>
      <c r="BS10" s="22"/>
      <c r="BT10" s="22"/>
      <c r="BU10" s="22"/>
      <c r="BV10" s="22"/>
      <c r="BW10" s="22"/>
      <c r="BX10" s="22"/>
      <c r="BY10" s="22"/>
      <c r="BZ10" s="22"/>
      <c r="CA10" s="22"/>
      <c r="CB10" s="22"/>
      <c r="CC10" s="22"/>
      <c r="CD10" s="22"/>
      <c r="CE10" s="22"/>
      <c r="CF10" s="22"/>
      <c r="CG10" s="23"/>
      <c r="CH10" s="41"/>
      <c r="CI10" s="41"/>
      <c r="CJ10" s="41"/>
      <c r="CK10" s="41"/>
      <c r="CL10" s="41"/>
      <c r="CM10" s="43"/>
      <c r="CN10" s="43"/>
      <c r="CO10" s="43"/>
      <c r="CP10" s="43"/>
      <c r="CQ10" s="43"/>
      <c r="CR10" s="43"/>
      <c r="CS10" s="43"/>
      <c r="CT10" s="43"/>
      <c r="CU10" s="43"/>
      <c r="CV10" s="43"/>
      <c r="CW10" s="43"/>
      <c r="CX10" s="43"/>
      <c r="CY10" s="43"/>
      <c r="CZ10" s="43"/>
      <c r="DA10" s="43"/>
      <c r="DB10" s="43"/>
      <c r="DC10" s="43"/>
      <c r="DD10" s="43"/>
      <c r="DE10" s="43"/>
      <c r="DF10" s="43"/>
      <c r="DG10" s="43"/>
      <c r="DH10" s="45"/>
      <c r="DI10" s="49"/>
      <c r="DJ10" s="50"/>
      <c r="DK10" s="1"/>
    </row>
    <row r="11" ht="12.75" customHeight="1">
      <c r="A11" s="1"/>
      <c r="B11" s="51"/>
      <c r="C11" s="52" t="s">
        <v>10</v>
      </c>
      <c r="D11" s="53"/>
      <c r="E11" s="53"/>
      <c r="F11" s="53"/>
      <c r="G11" s="53"/>
      <c r="H11" s="54"/>
      <c r="I11" s="55"/>
      <c r="J11" s="56"/>
      <c r="K11" s="57"/>
      <c r="L11" s="58" t="s">
        <v>11</v>
      </c>
      <c r="M11" s="53"/>
      <c r="N11" s="53"/>
      <c r="O11" s="53"/>
      <c r="P11" s="53"/>
      <c r="Q11" s="53"/>
      <c r="R11" s="54"/>
      <c r="S11" s="59"/>
      <c r="T11" s="56" t="s">
        <v>12</v>
      </c>
      <c r="U11" s="57"/>
      <c r="V11" s="60" t="s">
        <v>13</v>
      </c>
      <c r="W11" s="53"/>
      <c r="X11" s="53"/>
      <c r="Y11" s="53"/>
      <c r="Z11" s="54"/>
      <c r="AA11" s="61"/>
      <c r="AB11" s="61"/>
      <c r="AC11" s="61"/>
      <c r="AD11" s="61"/>
      <c r="AE11" s="61"/>
      <c r="AF11" s="61"/>
      <c r="AG11" s="61"/>
      <c r="AH11" s="62" t="s">
        <v>14</v>
      </c>
      <c r="AI11" s="53"/>
      <c r="AJ11" s="53"/>
      <c r="AK11" s="53"/>
      <c r="AL11" s="54"/>
      <c r="AM11" s="63" t="s">
        <v>15</v>
      </c>
      <c r="AN11" s="25"/>
      <c r="AO11" s="25"/>
      <c r="AP11" s="25"/>
      <c r="AQ11" s="25"/>
      <c r="AR11" s="25"/>
      <c r="AS11" s="25"/>
      <c r="AT11" s="25"/>
      <c r="AU11" s="25"/>
      <c r="AV11" s="25"/>
      <c r="AW11" s="25"/>
      <c r="AX11" s="25"/>
      <c r="AY11" s="25"/>
      <c r="AZ11" s="25"/>
      <c r="BA11" s="25"/>
      <c r="BB11" s="25"/>
      <c r="BC11" s="25"/>
      <c r="BD11" s="25"/>
      <c r="BE11" s="25"/>
      <c r="BF11" s="57"/>
      <c r="BG11" s="55"/>
      <c r="BH11" s="55"/>
      <c r="BI11" s="64" t="s">
        <v>16</v>
      </c>
      <c r="BJ11" s="64"/>
      <c r="BK11" s="64"/>
      <c r="BL11" s="64"/>
      <c r="BM11" s="64"/>
      <c r="BN11" s="63" t="s">
        <v>17</v>
      </c>
      <c r="BO11" s="25"/>
      <c r="BP11" s="25"/>
      <c r="BQ11" s="25"/>
      <c r="BR11" s="25"/>
      <c r="BS11" s="25"/>
      <c r="BT11" s="25"/>
      <c r="BU11" s="25"/>
      <c r="BV11" s="25"/>
      <c r="BW11" s="25"/>
      <c r="BX11" s="25"/>
      <c r="BY11" s="25"/>
      <c r="BZ11" s="25"/>
      <c r="CA11" s="25"/>
      <c r="CB11" s="25"/>
      <c r="CC11" s="25"/>
      <c r="CD11" s="25"/>
      <c r="CE11" s="25"/>
      <c r="CF11" s="25"/>
      <c r="CG11" s="57"/>
      <c r="CH11" s="55"/>
      <c r="CI11" s="55"/>
      <c r="CJ11" s="55"/>
      <c r="CK11" s="55"/>
      <c r="CL11" s="55"/>
      <c r="CM11" s="56" t="s">
        <v>18</v>
      </c>
      <c r="CN11" s="57"/>
      <c r="CO11" s="59" t="s">
        <v>19</v>
      </c>
      <c r="CP11" s="59"/>
      <c r="CQ11" s="59"/>
      <c r="CR11" s="59"/>
      <c r="CS11" s="59"/>
      <c r="CT11" s="59"/>
      <c r="CU11" s="59"/>
      <c r="CV11" s="59"/>
      <c r="CW11" s="59"/>
      <c r="CX11" s="56"/>
      <c r="CY11" s="57"/>
      <c r="CZ11" s="59" t="s">
        <v>20</v>
      </c>
      <c r="DA11" s="59"/>
      <c r="DB11" s="59"/>
      <c r="DC11" s="59"/>
      <c r="DD11" s="59"/>
      <c r="DE11" s="59"/>
      <c r="DF11" s="59"/>
      <c r="DG11" s="59"/>
      <c r="DH11" s="61"/>
      <c r="DI11" s="65"/>
      <c r="DJ11" s="66"/>
      <c r="DK11" s="1"/>
    </row>
    <row r="12" ht="4.5" customHeight="1">
      <c r="A12" s="1"/>
      <c r="B12" s="51"/>
      <c r="C12" s="65"/>
      <c r="D12" s="59"/>
      <c r="E12" s="59"/>
      <c r="F12" s="59"/>
      <c r="G12" s="59"/>
      <c r="H12" s="59"/>
      <c r="I12" s="59"/>
      <c r="J12" s="59"/>
      <c r="K12" s="59"/>
      <c r="L12" s="59"/>
      <c r="M12" s="59"/>
      <c r="N12" s="59"/>
      <c r="O12" s="59"/>
      <c r="P12" s="59"/>
      <c r="Q12" s="59"/>
      <c r="R12" s="59"/>
      <c r="S12" s="59"/>
      <c r="T12" s="59"/>
      <c r="U12" s="59"/>
      <c r="V12" s="59"/>
      <c r="W12" s="59"/>
      <c r="X12" s="59"/>
      <c r="Y12" s="65"/>
      <c r="Z12" s="65"/>
      <c r="AA12" s="65"/>
      <c r="AB12" s="65"/>
      <c r="AC12" s="65"/>
      <c r="AD12" s="65"/>
      <c r="AE12" s="65"/>
      <c r="AF12" s="59"/>
      <c r="AG12" s="59"/>
      <c r="AH12" s="59"/>
      <c r="AI12" s="59"/>
      <c r="AJ12" s="59"/>
      <c r="AK12" s="59"/>
      <c r="AL12" s="59"/>
      <c r="AM12" s="59"/>
      <c r="AN12" s="59"/>
      <c r="AO12" s="59"/>
      <c r="AP12" s="59"/>
      <c r="AQ12" s="59"/>
      <c r="AR12" s="59"/>
      <c r="AS12" s="59"/>
      <c r="AT12" s="59"/>
      <c r="AU12" s="59"/>
      <c r="AV12" s="59"/>
      <c r="AW12" s="59"/>
      <c r="AX12" s="59"/>
      <c r="AY12" s="59"/>
      <c r="AZ12" s="59"/>
      <c r="BA12" s="59"/>
      <c r="BB12" s="59"/>
      <c r="BC12" s="59"/>
      <c r="BD12" s="59"/>
      <c r="BE12" s="59"/>
      <c r="BF12" s="59"/>
      <c r="BG12" s="59"/>
      <c r="BH12" s="59"/>
      <c r="BI12" s="59"/>
      <c r="BJ12" s="59"/>
      <c r="BK12" s="59"/>
      <c r="BL12" s="59"/>
      <c r="BM12" s="59"/>
      <c r="BN12" s="59"/>
      <c r="BO12" s="59"/>
      <c r="BP12" s="59"/>
      <c r="BQ12" s="59"/>
      <c r="BR12" s="59"/>
      <c r="BS12" s="59"/>
      <c r="BT12" s="59"/>
      <c r="BU12" s="59"/>
      <c r="BV12" s="59"/>
      <c r="BW12" s="65"/>
      <c r="BX12" s="65"/>
      <c r="BY12" s="65"/>
      <c r="BZ12" s="65"/>
      <c r="CA12" s="65"/>
      <c r="CB12" s="65"/>
      <c r="CC12" s="65"/>
      <c r="CD12" s="65"/>
      <c r="CE12" s="65"/>
      <c r="CF12" s="65"/>
      <c r="CG12" s="59"/>
      <c r="CH12" s="59"/>
      <c r="CI12" s="59"/>
      <c r="CJ12" s="59"/>
      <c r="CK12" s="59"/>
      <c r="CL12" s="59"/>
      <c r="CM12" s="59"/>
      <c r="CN12" s="59"/>
      <c r="CO12" s="59"/>
      <c r="CP12" s="59"/>
      <c r="CQ12" s="59"/>
      <c r="CR12" s="59"/>
      <c r="CS12" s="59"/>
      <c r="CT12" s="59"/>
      <c r="CU12" s="59"/>
      <c r="CV12" s="59"/>
      <c r="CW12" s="59"/>
      <c r="CX12" s="59"/>
      <c r="CY12" s="59"/>
      <c r="CZ12" s="59"/>
      <c r="DA12" s="59"/>
      <c r="DB12" s="65"/>
      <c r="DC12" s="65"/>
      <c r="DD12" s="65"/>
      <c r="DE12" s="65"/>
      <c r="DF12" s="65"/>
      <c r="DG12" s="65"/>
      <c r="DH12" s="65"/>
      <c r="DI12" s="65"/>
      <c r="DJ12" s="66"/>
      <c r="DK12" s="1"/>
    </row>
    <row r="13" ht="12.75" customHeight="1">
      <c r="A13" s="1"/>
      <c r="B13" s="51"/>
      <c r="C13" s="65"/>
      <c r="D13" s="59"/>
      <c r="E13" s="59"/>
      <c r="F13" s="59"/>
      <c r="G13" s="59"/>
      <c r="H13" s="59"/>
      <c r="I13" s="59"/>
      <c r="J13" s="67" t="s">
        <v>21</v>
      </c>
      <c r="K13" s="53"/>
      <c r="L13" s="53"/>
      <c r="M13" s="53"/>
      <c r="N13" s="53"/>
      <c r="O13" s="53"/>
      <c r="P13" s="53"/>
      <c r="Q13" s="53"/>
      <c r="R13" s="53"/>
      <c r="S13" s="54"/>
      <c r="T13" s="63"/>
      <c r="U13" s="25"/>
      <c r="V13" s="25"/>
      <c r="W13" s="25"/>
      <c r="X13" s="25"/>
      <c r="Y13" s="25"/>
      <c r="Z13" s="25"/>
      <c r="AA13" s="25"/>
      <c r="AB13" s="25"/>
      <c r="AC13" s="25"/>
      <c r="AD13" s="25"/>
      <c r="AE13" s="25"/>
      <c r="AF13" s="25"/>
      <c r="AG13" s="25"/>
      <c r="AH13" s="25"/>
      <c r="AI13" s="25"/>
      <c r="AJ13" s="25"/>
      <c r="AK13" s="25"/>
      <c r="AL13" s="57"/>
      <c r="AM13" s="59"/>
      <c r="AN13" s="59"/>
      <c r="AO13" s="60" t="s">
        <v>22</v>
      </c>
      <c r="AP13" s="53"/>
      <c r="AQ13" s="53"/>
      <c r="AR13" s="53"/>
      <c r="AS13" s="53"/>
      <c r="AT13" s="53"/>
      <c r="AU13" s="53"/>
      <c r="AV13" s="53"/>
      <c r="AW13" s="53"/>
      <c r="AX13" s="53"/>
      <c r="AY13" s="53"/>
      <c r="AZ13" s="53"/>
      <c r="BA13" s="54"/>
      <c r="BB13" s="63">
        <v>8.06</v>
      </c>
      <c r="BC13" s="25"/>
      <c r="BD13" s="25"/>
      <c r="BE13" s="25"/>
      <c r="BF13" s="57"/>
      <c r="BG13" s="59"/>
      <c r="BH13" s="59"/>
      <c r="BI13" s="59"/>
      <c r="BJ13" s="59"/>
      <c r="BK13" s="59"/>
      <c r="BL13" s="59"/>
      <c r="BM13" s="59"/>
      <c r="BN13" s="59"/>
      <c r="BO13" s="59"/>
      <c r="BP13" s="68"/>
      <c r="BQ13" s="68"/>
      <c r="BR13" s="68"/>
      <c r="BS13" s="59"/>
      <c r="BT13" s="59"/>
      <c r="BU13" s="59"/>
      <c r="BV13" s="59"/>
      <c r="BW13" s="59"/>
      <c r="BX13" s="59"/>
      <c r="BY13" s="68"/>
      <c r="BZ13" s="68"/>
      <c r="CA13" s="68"/>
      <c r="CB13" s="65"/>
      <c r="CC13" s="65"/>
      <c r="CD13" s="65"/>
      <c r="CE13" s="65"/>
      <c r="CF13" s="59"/>
      <c r="CG13" s="59"/>
      <c r="CH13" s="59"/>
      <c r="CI13" s="59"/>
      <c r="CJ13" s="59"/>
      <c r="CK13" s="59"/>
      <c r="CL13" s="68"/>
      <c r="CM13" s="68"/>
      <c r="CN13" s="68"/>
      <c r="CO13" s="59"/>
      <c r="CP13" s="59"/>
      <c r="CQ13" s="59"/>
      <c r="CR13" s="59"/>
      <c r="CS13" s="59"/>
      <c r="CT13" s="59"/>
      <c r="CU13" s="59"/>
      <c r="CV13" s="59"/>
      <c r="CW13" s="59"/>
      <c r="CX13" s="59"/>
      <c r="CY13" s="68"/>
      <c r="CZ13" s="68"/>
      <c r="DA13" s="68"/>
      <c r="DB13" s="65"/>
      <c r="DC13" s="65"/>
      <c r="DD13" s="65"/>
      <c r="DE13" s="65"/>
      <c r="DF13" s="65"/>
      <c r="DG13" s="65"/>
      <c r="DH13" s="65"/>
      <c r="DI13" s="65"/>
      <c r="DJ13" s="66"/>
      <c r="DK13" s="1"/>
    </row>
    <row r="14" ht="4.5" customHeight="1">
      <c r="A14" s="1"/>
      <c r="B14" s="51"/>
      <c r="C14" s="65"/>
      <c r="D14" s="59"/>
      <c r="E14" s="59"/>
      <c r="F14" s="59"/>
      <c r="G14" s="59"/>
      <c r="H14" s="59"/>
      <c r="I14" s="59"/>
      <c r="J14" s="59"/>
      <c r="K14" s="59"/>
      <c r="L14" s="59"/>
      <c r="M14" s="59"/>
      <c r="N14" s="59"/>
      <c r="O14" s="59"/>
      <c r="P14" s="59"/>
      <c r="Q14" s="59"/>
      <c r="R14" s="59"/>
      <c r="S14" s="59"/>
      <c r="T14" s="59"/>
      <c r="U14" s="59"/>
      <c r="V14" s="59"/>
      <c r="W14" s="59"/>
      <c r="X14" s="59"/>
      <c r="Y14" s="65"/>
      <c r="Z14" s="65"/>
      <c r="AA14" s="65"/>
      <c r="AB14" s="65"/>
      <c r="AC14" s="65"/>
      <c r="AD14" s="65"/>
      <c r="AE14" s="65"/>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c r="BN14" s="59"/>
      <c r="BO14" s="59"/>
      <c r="BP14" s="59"/>
      <c r="BQ14" s="59"/>
      <c r="BR14" s="59"/>
      <c r="BS14" s="59"/>
      <c r="BT14" s="59"/>
      <c r="BU14" s="59"/>
      <c r="BV14" s="59"/>
      <c r="BW14" s="65"/>
      <c r="BX14" s="65"/>
      <c r="BY14" s="65"/>
      <c r="BZ14" s="65"/>
      <c r="CA14" s="65"/>
      <c r="CB14" s="65"/>
      <c r="CC14" s="65"/>
      <c r="CD14" s="65"/>
      <c r="CE14" s="65"/>
      <c r="CF14" s="65"/>
      <c r="CG14" s="59"/>
      <c r="CH14" s="59"/>
      <c r="CI14" s="59"/>
      <c r="CJ14" s="59"/>
      <c r="CK14" s="59"/>
      <c r="CL14" s="59"/>
      <c r="CM14" s="59"/>
      <c r="CN14" s="59"/>
      <c r="CO14" s="59"/>
      <c r="CP14" s="59"/>
      <c r="CQ14" s="59"/>
      <c r="CR14" s="59"/>
      <c r="CS14" s="59"/>
      <c r="CT14" s="59"/>
      <c r="CU14" s="59"/>
      <c r="CV14" s="59"/>
      <c r="CW14" s="59"/>
      <c r="CX14" s="59"/>
      <c r="CY14" s="59"/>
      <c r="CZ14" s="59"/>
      <c r="DA14" s="59"/>
      <c r="DB14" s="65"/>
      <c r="DC14" s="65"/>
      <c r="DD14" s="65"/>
      <c r="DE14" s="65"/>
      <c r="DF14" s="65"/>
      <c r="DG14" s="65"/>
      <c r="DH14" s="65"/>
      <c r="DI14" s="65"/>
      <c r="DJ14" s="66"/>
      <c r="DK14" s="1"/>
    </row>
    <row r="15" ht="12.75" customHeight="1">
      <c r="A15" s="1"/>
      <c r="B15" s="51"/>
      <c r="C15" s="65"/>
      <c r="D15" s="59"/>
      <c r="E15" s="59"/>
      <c r="F15" s="59"/>
      <c r="G15" s="59"/>
      <c r="H15" s="59"/>
      <c r="I15" s="59"/>
      <c r="J15" s="59" t="s">
        <v>23</v>
      </c>
      <c r="K15" s="59"/>
      <c r="L15" s="59"/>
      <c r="M15" s="59"/>
      <c r="N15" s="59"/>
      <c r="O15" s="59"/>
      <c r="P15" s="59"/>
      <c r="Q15" s="68"/>
      <c r="R15" s="68"/>
      <c r="S15" s="68"/>
      <c r="T15" s="63">
        <v>3000.0</v>
      </c>
      <c r="U15" s="25"/>
      <c r="V15" s="25"/>
      <c r="W15" s="25"/>
      <c r="X15" s="25"/>
      <c r="Y15" s="57"/>
      <c r="Z15" s="69" t="s">
        <v>24</v>
      </c>
      <c r="AA15" s="53"/>
      <c r="AB15" s="54"/>
      <c r="AC15" s="65"/>
      <c r="AD15" s="65"/>
      <c r="AE15" s="63">
        <v>150.0</v>
      </c>
      <c r="AF15" s="25"/>
      <c r="AG15" s="25"/>
      <c r="AH15" s="25"/>
      <c r="AI15" s="25"/>
      <c r="AJ15" s="57"/>
      <c r="AK15" s="70" t="s">
        <v>25</v>
      </c>
      <c r="AL15" s="53"/>
      <c r="AM15" s="54"/>
      <c r="AN15" s="59"/>
      <c r="AO15" s="59"/>
      <c r="AP15" s="63">
        <v>1800.0</v>
      </c>
      <c r="AQ15" s="25"/>
      <c r="AR15" s="25"/>
      <c r="AS15" s="25"/>
      <c r="AT15" s="25"/>
      <c r="AU15" s="57"/>
      <c r="AV15" s="69" t="s">
        <v>26</v>
      </c>
      <c r="AW15" s="53"/>
      <c r="AX15" s="54"/>
      <c r="AY15" s="59"/>
      <c r="AZ15" s="59"/>
      <c r="BA15" s="60" t="s">
        <v>27</v>
      </c>
      <c r="BB15" s="53"/>
      <c r="BC15" s="53"/>
      <c r="BD15" s="53"/>
      <c r="BE15" s="53"/>
      <c r="BF15" s="53"/>
      <c r="BG15" s="53"/>
      <c r="BH15" s="53"/>
      <c r="BI15" s="53"/>
      <c r="BJ15" s="53"/>
      <c r="BK15" s="53"/>
      <c r="BL15" s="53"/>
      <c r="BM15" s="53"/>
      <c r="BN15" s="53"/>
      <c r="BO15" s="53"/>
      <c r="BP15" s="53"/>
      <c r="BQ15" s="54"/>
      <c r="BR15" s="63">
        <v>190.0</v>
      </c>
      <c r="BS15" s="25"/>
      <c r="BT15" s="25"/>
      <c r="BU15" s="25"/>
      <c r="BV15" s="25"/>
      <c r="BW15" s="57"/>
      <c r="BX15" s="69" t="s">
        <v>25</v>
      </c>
      <c r="BY15" s="53"/>
      <c r="BZ15" s="54"/>
      <c r="CA15" s="65"/>
      <c r="CB15" s="65"/>
      <c r="CC15" s="62" t="s">
        <v>28</v>
      </c>
      <c r="CD15" s="53"/>
      <c r="CE15" s="53"/>
      <c r="CF15" s="53"/>
      <c r="CG15" s="53"/>
      <c r="CH15" s="53"/>
      <c r="CI15" s="53"/>
      <c r="CJ15" s="53"/>
      <c r="CK15" s="53"/>
      <c r="CL15" s="53"/>
      <c r="CM15" s="53"/>
      <c r="CN15" s="53"/>
      <c r="CO15" s="53"/>
      <c r="CP15" s="53"/>
      <c r="CQ15" s="53"/>
      <c r="CR15" s="53"/>
      <c r="CS15" s="53"/>
      <c r="CT15" s="54"/>
      <c r="CU15" s="63">
        <v>115.0</v>
      </c>
      <c r="CV15" s="25"/>
      <c r="CW15" s="25"/>
      <c r="CX15" s="25"/>
      <c r="CY15" s="25"/>
      <c r="CZ15" s="57"/>
      <c r="DA15" s="69" t="s">
        <v>25</v>
      </c>
      <c r="DB15" s="53"/>
      <c r="DC15" s="54"/>
      <c r="DD15" s="65"/>
      <c r="DE15" s="65"/>
      <c r="DF15" s="65"/>
      <c r="DG15" s="65"/>
      <c r="DH15" s="65"/>
      <c r="DI15" s="65"/>
      <c r="DJ15" s="66"/>
      <c r="DK15" s="1"/>
    </row>
    <row r="16" ht="4.5" customHeight="1">
      <c r="A16" s="1"/>
      <c r="B16" s="51"/>
      <c r="C16" s="65"/>
      <c r="D16" s="59"/>
      <c r="E16" s="59"/>
      <c r="F16" s="59"/>
      <c r="G16" s="59"/>
      <c r="H16" s="59"/>
      <c r="I16" s="59"/>
      <c r="J16" s="59"/>
      <c r="K16" s="59"/>
      <c r="L16" s="59"/>
      <c r="M16" s="59"/>
      <c r="N16" s="59"/>
      <c r="O16" s="59"/>
      <c r="P16" s="59"/>
      <c r="Q16" s="59"/>
      <c r="R16" s="59"/>
      <c r="S16" s="59"/>
      <c r="T16" s="59"/>
      <c r="U16" s="59"/>
      <c r="V16" s="59"/>
      <c r="W16" s="59"/>
      <c r="X16" s="59"/>
      <c r="Y16" s="65"/>
      <c r="Z16" s="65"/>
      <c r="AA16" s="65"/>
      <c r="AB16" s="65"/>
      <c r="AC16" s="65"/>
      <c r="AD16" s="65"/>
      <c r="AE16" s="65"/>
      <c r="AF16" s="59"/>
      <c r="AG16" s="59"/>
      <c r="AH16" s="59"/>
      <c r="AI16" s="59"/>
      <c r="AJ16" s="59"/>
      <c r="AK16" s="59"/>
      <c r="AL16" s="59"/>
      <c r="AM16" s="59"/>
      <c r="AN16" s="59"/>
      <c r="AO16" s="59"/>
      <c r="AP16" s="59"/>
      <c r="AQ16" s="59"/>
      <c r="AR16" s="59"/>
      <c r="AS16" s="59"/>
      <c r="AT16" s="59"/>
      <c r="AU16" s="59"/>
      <c r="AV16" s="59"/>
      <c r="AW16" s="59"/>
      <c r="AX16" s="59"/>
      <c r="AY16" s="59"/>
      <c r="AZ16" s="59"/>
      <c r="BA16" s="59"/>
      <c r="BB16" s="59"/>
      <c r="BC16" s="59"/>
      <c r="BD16" s="59"/>
      <c r="BE16" s="59"/>
      <c r="BF16" s="59"/>
      <c r="BG16" s="59"/>
      <c r="BH16" s="59"/>
      <c r="BI16" s="59"/>
      <c r="BJ16" s="59"/>
      <c r="BK16" s="59"/>
      <c r="BL16" s="59"/>
      <c r="BM16" s="59"/>
      <c r="BN16" s="59"/>
      <c r="BO16" s="59"/>
      <c r="BP16" s="59"/>
      <c r="BQ16" s="59"/>
      <c r="BR16" s="59"/>
      <c r="BS16" s="59"/>
      <c r="BT16" s="59"/>
      <c r="BU16" s="59"/>
      <c r="BV16" s="59"/>
      <c r="BW16" s="65"/>
      <c r="BX16" s="65"/>
      <c r="BY16" s="65"/>
      <c r="BZ16" s="65"/>
      <c r="CA16" s="65"/>
      <c r="CB16" s="65"/>
      <c r="CC16" s="65"/>
      <c r="CD16" s="65"/>
      <c r="CE16" s="65"/>
      <c r="CF16" s="65"/>
      <c r="CG16" s="59"/>
      <c r="CH16" s="59"/>
      <c r="CI16" s="59"/>
      <c r="CJ16" s="59"/>
      <c r="CK16" s="59"/>
      <c r="CL16" s="59"/>
      <c r="CM16" s="59"/>
      <c r="CN16" s="59"/>
      <c r="CO16" s="59"/>
      <c r="CP16" s="59"/>
      <c r="CQ16" s="59"/>
      <c r="CR16" s="59"/>
      <c r="CS16" s="59"/>
      <c r="CT16" s="59"/>
      <c r="CU16" s="59"/>
      <c r="CV16" s="59"/>
      <c r="CW16" s="59"/>
      <c r="CX16" s="59"/>
      <c r="CY16" s="59"/>
      <c r="CZ16" s="59"/>
      <c r="DA16" s="59"/>
      <c r="DB16" s="65"/>
      <c r="DC16" s="65"/>
      <c r="DD16" s="65"/>
      <c r="DE16" s="65"/>
      <c r="DF16" s="65"/>
      <c r="DG16" s="65"/>
      <c r="DH16" s="65"/>
      <c r="DI16" s="65"/>
      <c r="DJ16" s="66"/>
      <c r="DK16" s="1"/>
    </row>
    <row r="17" ht="12.75" customHeight="1">
      <c r="A17" s="1"/>
      <c r="B17" s="51"/>
      <c r="C17" s="65"/>
      <c r="D17" s="59"/>
      <c r="E17" s="59"/>
      <c r="F17" s="59"/>
      <c r="G17" s="59"/>
      <c r="H17" s="59"/>
      <c r="I17" s="59"/>
      <c r="J17" s="72" t="s">
        <v>29</v>
      </c>
      <c r="K17" s="53"/>
      <c r="L17" s="53"/>
      <c r="M17" s="53"/>
      <c r="N17" s="53"/>
      <c r="O17" s="53"/>
      <c r="P17" s="53"/>
      <c r="Q17" s="53"/>
      <c r="R17" s="53"/>
      <c r="S17" s="53"/>
      <c r="T17" s="53"/>
      <c r="U17" s="53"/>
      <c r="V17" s="54"/>
      <c r="W17" s="62" t="s">
        <v>14</v>
      </c>
      <c r="X17" s="53"/>
      <c r="Y17" s="53"/>
      <c r="Z17" s="53"/>
      <c r="AA17" s="54"/>
      <c r="AB17" s="73"/>
      <c r="AC17" s="25"/>
      <c r="AD17" s="25"/>
      <c r="AE17" s="25"/>
      <c r="AF17" s="25"/>
      <c r="AG17" s="25"/>
      <c r="AH17" s="25"/>
      <c r="AI17" s="25"/>
      <c r="AJ17" s="25"/>
      <c r="AK17" s="25"/>
      <c r="AL17" s="25"/>
      <c r="AM17" s="25"/>
      <c r="AN17" s="25"/>
      <c r="AO17" s="25"/>
      <c r="AP17" s="25"/>
      <c r="AQ17" s="57"/>
      <c r="AR17" s="59"/>
      <c r="AS17" s="62" t="s">
        <v>16</v>
      </c>
      <c r="AT17" s="53"/>
      <c r="AU17" s="53"/>
      <c r="AV17" s="53"/>
      <c r="AW17" s="53"/>
      <c r="AX17" s="54"/>
      <c r="AY17" s="73"/>
      <c r="AZ17" s="25"/>
      <c r="BA17" s="25"/>
      <c r="BB17" s="25"/>
      <c r="BC17" s="25"/>
      <c r="BD17" s="25"/>
      <c r="BE17" s="25"/>
      <c r="BF17" s="25"/>
      <c r="BG17" s="25"/>
      <c r="BH17" s="25"/>
      <c r="BI17" s="25"/>
      <c r="BJ17" s="25"/>
      <c r="BK17" s="25"/>
      <c r="BL17" s="25"/>
      <c r="BM17" s="25"/>
      <c r="BN17" s="57"/>
      <c r="BO17" s="59"/>
      <c r="BP17" s="59"/>
      <c r="BQ17" s="67" t="s">
        <v>21</v>
      </c>
      <c r="BR17" s="53"/>
      <c r="BS17" s="53"/>
      <c r="BT17" s="53"/>
      <c r="BU17" s="53"/>
      <c r="BV17" s="53"/>
      <c r="BW17" s="53"/>
      <c r="BX17" s="53"/>
      <c r="BY17" s="53"/>
      <c r="BZ17" s="54"/>
      <c r="CA17" s="73" t="s">
        <v>30</v>
      </c>
      <c r="CB17" s="25"/>
      <c r="CC17" s="25"/>
      <c r="CD17" s="25"/>
      <c r="CE17" s="25"/>
      <c r="CF17" s="25"/>
      <c r="CG17" s="25"/>
      <c r="CH17" s="25"/>
      <c r="CI17" s="25"/>
      <c r="CJ17" s="25"/>
      <c r="CK17" s="25"/>
      <c r="CL17" s="25"/>
      <c r="CM17" s="25"/>
      <c r="CN17" s="25"/>
      <c r="CO17" s="25"/>
      <c r="CP17" s="57"/>
      <c r="CQ17" s="59"/>
      <c r="CR17" s="59"/>
      <c r="CS17" s="69" t="s">
        <v>31</v>
      </c>
      <c r="CT17" s="53"/>
      <c r="CU17" s="53"/>
      <c r="CV17" s="53"/>
      <c r="CW17" s="53"/>
      <c r="CX17" s="54"/>
      <c r="CY17" s="74"/>
      <c r="CZ17" s="25"/>
      <c r="DA17" s="25"/>
      <c r="DB17" s="25"/>
      <c r="DC17" s="25"/>
      <c r="DD17" s="57"/>
      <c r="DE17" s="65"/>
      <c r="DF17" s="65"/>
      <c r="DG17" s="65"/>
      <c r="DH17" s="65"/>
      <c r="DI17" s="65"/>
      <c r="DJ17" s="66"/>
      <c r="DK17" s="1"/>
    </row>
    <row r="18" ht="4.5" customHeight="1">
      <c r="A18" s="1"/>
      <c r="B18" s="76"/>
      <c r="C18" s="77"/>
      <c r="D18" s="78"/>
      <c r="E18" s="78"/>
      <c r="F18" s="78"/>
      <c r="G18" s="78"/>
      <c r="H18" s="78"/>
      <c r="I18" s="78"/>
      <c r="J18" s="78"/>
      <c r="K18" s="78"/>
      <c r="L18" s="78"/>
      <c r="M18" s="78"/>
      <c r="N18" s="78"/>
      <c r="O18" s="78"/>
      <c r="P18" s="78"/>
      <c r="Q18" s="78"/>
      <c r="R18" s="78"/>
      <c r="S18" s="78"/>
      <c r="T18" s="78"/>
      <c r="U18" s="78"/>
      <c r="V18" s="78"/>
      <c r="W18" s="78"/>
      <c r="X18" s="78"/>
      <c r="Y18" s="77"/>
      <c r="Z18" s="77"/>
      <c r="AA18" s="77"/>
      <c r="AB18" s="77"/>
      <c r="AC18" s="77"/>
      <c r="AD18" s="77"/>
      <c r="AE18" s="77"/>
      <c r="AF18" s="78"/>
      <c r="AG18" s="78"/>
      <c r="AH18" s="78"/>
      <c r="AI18" s="78"/>
      <c r="AJ18" s="78"/>
      <c r="AK18" s="78"/>
      <c r="AL18" s="78"/>
      <c r="AM18" s="78"/>
      <c r="AN18" s="78"/>
      <c r="AO18" s="78"/>
      <c r="AP18" s="78"/>
      <c r="AQ18" s="78"/>
      <c r="AR18" s="78"/>
      <c r="AS18" s="78"/>
      <c r="AT18" s="78"/>
      <c r="AU18" s="78"/>
      <c r="AV18" s="78"/>
      <c r="AW18" s="78"/>
      <c r="AX18" s="78"/>
      <c r="AY18" s="78"/>
      <c r="AZ18" s="78"/>
      <c r="BA18" s="78"/>
      <c r="BB18" s="78"/>
      <c r="BC18" s="78"/>
      <c r="BD18" s="78"/>
      <c r="BE18" s="78"/>
      <c r="BF18" s="78"/>
      <c r="BG18" s="78"/>
      <c r="BH18" s="78"/>
      <c r="BI18" s="78"/>
      <c r="BJ18" s="78"/>
      <c r="BK18" s="78"/>
      <c r="BL18" s="78"/>
      <c r="BM18" s="78"/>
      <c r="BN18" s="78"/>
      <c r="BO18" s="78"/>
      <c r="BP18" s="78"/>
      <c r="BQ18" s="78"/>
      <c r="BR18" s="78"/>
      <c r="BS18" s="78"/>
      <c r="BT18" s="78"/>
      <c r="BU18" s="78"/>
      <c r="BV18" s="78"/>
      <c r="BW18" s="77"/>
      <c r="BX18" s="77"/>
      <c r="BY18" s="77"/>
      <c r="BZ18" s="77"/>
      <c r="CA18" s="77"/>
      <c r="CB18" s="77"/>
      <c r="CC18" s="77"/>
      <c r="CD18" s="77"/>
      <c r="CE18" s="77"/>
      <c r="CF18" s="77"/>
      <c r="CG18" s="78"/>
      <c r="CH18" s="78"/>
      <c r="CI18" s="78"/>
      <c r="CJ18" s="78"/>
      <c r="CK18" s="78"/>
      <c r="CL18" s="78"/>
      <c r="CM18" s="78"/>
      <c r="CN18" s="78"/>
      <c r="CO18" s="78"/>
      <c r="CP18" s="78"/>
      <c r="CQ18" s="78"/>
      <c r="CR18" s="78"/>
      <c r="CS18" s="78"/>
      <c r="CT18" s="78"/>
      <c r="CU18" s="78"/>
      <c r="CV18" s="78"/>
      <c r="CW18" s="78"/>
      <c r="CX18" s="78"/>
      <c r="CY18" s="78"/>
      <c r="CZ18" s="78"/>
      <c r="DA18" s="78"/>
      <c r="DB18" s="77"/>
      <c r="DC18" s="77"/>
      <c r="DD18" s="77"/>
      <c r="DE18" s="77"/>
      <c r="DF18" s="77"/>
      <c r="DG18" s="77"/>
      <c r="DH18" s="77"/>
      <c r="DI18" s="77"/>
      <c r="DJ18" s="79"/>
      <c r="DK18" s="1"/>
    </row>
    <row r="19" ht="4.5" customHeight="1">
      <c r="A19" s="1"/>
      <c r="B19" s="39"/>
      <c r="C19" s="40"/>
      <c r="D19" s="22"/>
      <c r="E19" s="22"/>
      <c r="F19" s="22"/>
      <c r="G19" s="22"/>
      <c r="H19" s="23"/>
      <c r="I19" s="41"/>
      <c r="J19" s="41"/>
      <c r="K19" s="41"/>
      <c r="L19" s="42"/>
      <c r="M19" s="22"/>
      <c r="N19" s="22"/>
      <c r="O19" s="22"/>
      <c r="P19" s="22"/>
      <c r="Q19" s="22"/>
      <c r="R19" s="23"/>
      <c r="S19" s="43"/>
      <c r="T19" s="43"/>
      <c r="U19" s="43"/>
      <c r="V19" s="44"/>
      <c r="W19" s="22"/>
      <c r="X19" s="22"/>
      <c r="Y19" s="22"/>
      <c r="Z19" s="22"/>
      <c r="AA19" s="23"/>
      <c r="AB19" s="49"/>
      <c r="AC19" s="49"/>
      <c r="AD19" s="49"/>
      <c r="AE19" s="49"/>
      <c r="AF19" s="49"/>
      <c r="AG19" s="49"/>
      <c r="AH19" s="46"/>
      <c r="AI19" s="22"/>
      <c r="AJ19" s="22"/>
      <c r="AK19" s="22"/>
      <c r="AL19" s="23"/>
      <c r="AM19" s="47"/>
      <c r="AN19" s="22"/>
      <c r="AO19" s="22"/>
      <c r="AP19" s="22"/>
      <c r="AQ19" s="22"/>
      <c r="AR19" s="22"/>
      <c r="AS19" s="22"/>
      <c r="AT19" s="22"/>
      <c r="AU19" s="22"/>
      <c r="AV19" s="22"/>
      <c r="AW19" s="22"/>
      <c r="AX19" s="22"/>
      <c r="AY19" s="22"/>
      <c r="AZ19" s="22"/>
      <c r="BA19" s="22"/>
      <c r="BB19" s="22"/>
      <c r="BC19" s="22"/>
      <c r="BD19" s="22"/>
      <c r="BE19" s="22"/>
      <c r="BF19" s="23"/>
      <c r="BG19" s="41"/>
      <c r="BH19" s="41"/>
      <c r="BI19" s="48"/>
      <c r="BJ19" s="48"/>
      <c r="BK19" s="48"/>
      <c r="BL19" s="48"/>
      <c r="BM19" s="48"/>
      <c r="BN19" s="47"/>
      <c r="BO19" s="22"/>
      <c r="BP19" s="22"/>
      <c r="BQ19" s="22"/>
      <c r="BR19" s="22"/>
      <c r="BS19" s="22"/>
      <c r="BT19" s="22"/>
      <c r="BU19" s="22"/>
      <c r="BV19" s="22"/>
      <c r="BW19" s="22"/>
      <c r="BX19" s="22"/>
      <c r="BY19" s="22"/>
      <c r="BZ19" s="22"/>
      <c r="CA19" s="22"/>
      <c r="CB19" s="22"/>
      <c r="CC19" s="22"/>
      <c r="CD19" s="22"/>
      <c r="CE19" s="22"/>
      <c r="CF19" s="22"/>
      <c r="CG19" s="23"/>
      <c r="CH19" s="41"/>
      <c r="CI19" s="41"/>
      <c r="CJ19" s="41"/>
      <c r="CK19" s="41"/>
      <c r="CL19" s="41"/>
      <c r="CM19" s="43"/>
      <c r="CN19" s="43"/>
      <c r="CO19" s="43"/>
      <c r="CP19" s="43"/>
      <c r="CQ19" s="43"/>
      <c r="CR19" s="43"/>
      <c r="CS19" s="43"/>
      <c r="CT19" s="43"/>
      <c r="CU19" s="43"/>
      <c r="CV19" s="43"/>
      <c r="CW19" s="43"/>
      <c r="CX19" s="43"/>
      <c r="CY19" s="43"/>
      <c r="CZ19" s="43"/>
      <c r="DA19" s="43"/>
      <c r="DB19" s="43"/>
      <c r="DC19" s="43"/>
      <c r="DD19" s="43"/>
      <c r="DE19" s="43"/>
      <c r="DF19" s="43"/>
      <c r="DG19" s="43"/>
      <c r="DH19" s="49"/>
      <c r="DI19" s="49"/>
      <c r="DJ19" s="50"/>
      <c r="DK19" s="1"/>
    </row>
    <row r="20" ht="12.75" customHeight="1">
      <c r="A20" s="1"/>
      <c r="B20" s="51"/>
      <c r="C20" s="52" t="s">
        <v>33</v>
      </c>
      <c r="D20" s="53"/>
      <c r="E20" s="53"/>
      <c r="F20" s="53"/>
      <c r="G20" s="53"/>
      <c r="H20" s="54"/>
      <c r="I20" s="55"/>
      <c r="J20" s="56"/>
      <c r="K20" s="57"/>
      <c r="L20" s="82" t="s">
        <v>34</v>
      </c>
      <c r="M20" s="53"/>
      <c r="N20" s="53"/>
      <c r="O20" s="53"/>
      <c r="P20" s="53"/>
      <c r="Q20" s="53"/>
      <c r="R20" s="54"/>
      <c r="S20" s="59"/>
      <c r="T20" s="56" t="s">
        <v>18</v>
      </c>
      <c r="U20" s="57"/>
      <c r="V20" s="60" t="s">
        <v>35</v>
      </c>
      <c r="W20" s="53"/>
      <c r="X20" s="53"/>
      <c r="Y20" s="53"/>
      <c r="Z20" s="53"/>
      <c r="AA20" s="54"/>
      <c r="AB20" s="65"/>
      <c r="AC20" s="65"/>
      <c r="AD20" s="65"/>
      <c r="AE20" s="65"/>
      <c r="AF20" s="65"/>
      <c r="AG20" s="65"/>
      <c r="AH20" s="62" t="s">
        <v>14</v>
      </c>
      <c r="AI20" s="53"/>
      <c r="AJ20" s="53"/>
      <c r="AK20" s="53"/>
      <c r="AL20" s="54"/>
      <c r="AM20" s="63" t="s">
        <v>36</v>
      </c>
      <c r="AN20" s="25"/>
      <c r="AO20" s="25"/>
      <c r="AP20" s="25"/>
      <c r="AQ20" s="25"/>
      <c r="AR20" s="25"/>
      <c r="AS20" s="25"/>
      <c r="AT20" s="25"/>
      <c r="AU20" s="25"/>
      <c r="AV20" s="25"/>
      <c r="AW20" s="25"/>
      <c r="AX20" s="25"/>
      <c r="AY20" s="25"/>
      <c r="AZ20" s="25"/>
      <c r="BA20" s="25"/>
      <c r="BB20" s="25"/>
      <c r="BC20" s="25"/>
      <c r="BD20" s="25"/>
      <c r="BE20" s="25"/>
      <c r="BF20" s="57"/>
      <c r="BG20" s="55"/>
      <c r="BH20" s="55"/>
      <c r="BI20" s="64" t="s">
        <v>16</v>
      </c>
      <c r="BJ20" s="64"/>
      <c r="BK20" s="64"/>
      <c r="BL20" s="64"/>
      <c r="BM20" s="64"/>
      <c r="BN20" s="63" t="s">
        <v>37</v>
      </c>
      <c r="BO20" s="25"/>
      <c r="BP20" s="25"/>
      <c r="BQ20" s="25"/>
      <c r="BR20" s="25"/>
      <c r="BS20" s="25"/>
      <c r="BT20" s="25"/>
      <c r="BU20" s="25"/>
      <c r="BV20" s="25"/>
      <c r="BW20" s="25"/>
      <c r="BX20" s="25"/>
      <c r="BY20" s="25"/>
      <c r="BZ20" s="25"/>
      <c r="CA20" s="25"/>
      <c r="CB20" s="25"/>
      <c r="CC20" s="25"/>
      <c r="CD20" s="25"/>
      <c r="CE20" s="25"/>
      <c r="CF20" s="25"/>
      <c r="CG20" s="57"/>
      <c r="CH20" s="55"/>
      <c r="CI20" s="55"/>
      <c r="CJ20" s="55"/>
      <c r="CK20" s="55"/>
      <c r="CL20" s="55"/>
      <c r="CM20" s="56" t="s">
        <v>18</v>
      </c>
      <c r="CN20" s="57"/>
      <c r="CO20" s="59" t="s">
        <v>39</v>
      </c>
      <c r="CP20" s="59"/>
      <c r="CQ20" s="59"/>
      <c r="CR20" s="59"/>
      <c r="CS20" s="59"/>
      <c r="CT20" s="59"/>
      <c r="CU20" s="59"/>
      <c r="CV20" s="59"/>
      <c r="CW20" s="59"/>
      <c r="CX20" s="56"/>
      <c r="CY20" s="57"/>
      <c r="CZ20" s="59" t="s">
        <v>40</v>
      </c>
      <c r="DA20" s="59"/>
      <c r="DB20" s="59"/>
      <c r="DC20" s="59"/>
      <c r="DD20" s="59"/>
      <c r="DE20" s="59"/>
      <c r="DF20" s="59"/>
      <c r="DG20" s="59"/>
      <c r="DH20" s="65"/>
      <c r="DI20" s="65"/>
      <c r="DJ20" s="66"/>
      <c r="DK20" s="1"/>
    </row>
    <row r="21" ht="4.5" customHeight="1">
      <c r="A21" s="1"/>
      <c r="B21" s="51"/>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5"/>
      <c r="BD21" s="65"/>
      <c r="BE21" s="65"/>
      <c r="BF21" s="65"/>
      <c r="BG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c r="CT21" s="65"/>
      <c r="CU21" s="65"/>
      <c r="CV21" s="65"/>
      <c r="CW21" s="65"/>
      <c r="CX21" s="65"/>
      <c r="CY21" s="65"/>
      <c r="CZ21" s="65"/>
      <c r="DA21" s="65"/>
      <c r="DB21" s="65"/>
      <c r="DC21" s="65"/>
      <c r="DD21" s="65"/>
      <c r="DE21" s="65"/>
      <c r="DF21" s="65"/>
      <c r="DG21" s="65"/>
      <c r="DH21" s="65"/>
      <c r="DI21" s="65"/>
      <c r="DJ21" s="66"/>
      <c r="DK21" s="1"/>
    </row>
    <row r="22" ht="12.75" customHeight="1">
      <c r="A22" s="1"/>
      <c r="B22" s="51"/>
      <c r="C22" s="65"/>
      <c r="D22" s="65"/>
      <c r="E22" s="65"/>
      <c r="F22" s="65"/>
      <c r="G22" s="65"/>
      <c r="H22" s="65"/>
      <c r="I22" s="65"/>
      <c r="J22" s="67" t="s">
        <v>21</v>
      </c>
      <c r="K22" s="53"/>
      <c r="L22" s="53"/>
      <c r="M22" s="53"/>
      <c r="N22" s="53"/>
      <c r="O22" s="53"/>
      <c r="P22" s="53"/>
      <c r="Q22" s="53"/>
      <c r="R22" s="53"/>
      <c r="S22" s="54"/>
      <c r="T22" s="63" t="s">
        <v>44</v>
      </c>
      <c r="U22" s="25"/>
      <c r="V22" s="25"/>
      <c r="W22" s="25"/>
      <c r="X22" s="25"/>
      <c r="Y22" s="25"/>
      <c r="Z22" s="25"/>
      <c r="AA22" s="25"/>
      <c r="AB22" s="25"/>
      <c r="AC22" s="25"/>
      <c r="AD22" s="25"/>
      <c r="AE22" s="25"/>
      <c r="AF22" s="25"/>
      <c r="AG22" s="25"/>
      <c r="AH22" s="25"/>
      <c r="AI22" s="25"/>
      <c r="AJ22" s="25"/>
      <c r="AK22" s="25"/>
      <c r="AL22" s="57"/>
      <c r="AM22" s="65"/>
      <c r="AN22" s="65"/>
      <c r="AO22" s="63">
        <v>1780.0</v>
      </c>
      <c r="AP22" s="25"/>
      <c r="AQ22" s="25"/>
      <c r="AR22" s="25"/>
      <c r="AS22" s="25"/>
      <c r="AT22" s="57"/>
      <c r="AU22" s="69" t="s">
        <v>26</v>
      </c>
      <c r="AV22" s="53"/>
      <c r="AW22" s="54"/>
      <c r="AX22" s="65"/>
      <c r="AY22" s="65"/>
      <c r="AZ22" s="63">
        <v>150.0</v>
      </c>
      <c r="BA22" s="25"/>
      <c r="BB22" s="25"/>
      <c r="BC22" s="25"/>
      <c r="BD22" s="25"/>
      <c r="BE22" s="57"/>
      <c r="BF22" s="69" t="s">
        <v>46</v>
      </c>
      <c r="BG22" s="53"/>
      <c r="BH22" s="54"/>
      <c r="BI22" s="65"/>
      <c r="BJ22" s="52" t="s">
        <v>47</v>
      </c>
      <c r="BK22" s="53"/>
      <c r="BL22" s="53"/>
      <c r="BM22" s="53"/>
      <c r="BN22" s="53"/>
      <c r="BO22" s="53"/>
      <c r="BP22" s="53"/>
      <c r="BQ22" s="53"/>
      <c r="BR22" s="53"/>
      <c r="BS22" s="53"/>
      <c r="BT22" s="53"/>
      <c r="BU22" s="54"/>
      <c r="BV22" s="63">
        <v>240.0</v>
      </c>
      <c r="BW22" s="25"/>
      <c r="BX22" s="25"/>
      <c r="BY22" s="25"/>
      <c r="BZ22" s="25"/>
      <c r="CA22" s="57"/>
      <c r="CB22" s="69" t="s">
        <v>50</v>
      </c>
      <c r="CC22" s="53"/>
      <c r="CD22" s="53"/>
      <c r="CE22" s="54"/>
      <c r="CF22" s="65"/>
      <c r="CG22" s="65"/>
      <c r="CH22" s="63">
        <v>328.0</v>
      </c>
      <c r="CI22" s="25"/>
      <c r="CJ22" s="25"/>
      <c r="CK22" s="25"/>
      <c r="CL22" s="25"/>
      <c r="CM22" s="57"/>
      <c r="CN22" s="69" t="s">
        <v>54</v>
      </c>
      <c r="CO22" s="53"/>
      <c r="CP22" s="53"/>
      <c r="CQ22" s="54"/>
      <c r="CR22" s="65"/>
      <c r="CS22" s="60" t="s">
        <v>55</v>
      </c>
      <c r="CT22" s="53"/>
      <c r="CU22" s="53"/>
      <c r="CV22" s="53"/>
      <c r="CW22" s="53"/>
      <c r="CX22" s="53"/>
      <c r="CY22" s="53"/>
      <c r="CZ22" s="53"/>
      <c r="DA22" s="53"/>
      <c r="DB22" s="53"/>
      <c r="DC22" s="54"/>
      <c r="DD22" s="73">
        <v>1.14</v>
      </c>
      <c r="DE22" s="25"/>
      <c r="DF22" s="25"/>
      <c r="DG22" s="25"/>
      <c r="DH22" s="57"/>
      <c r="DI22" s="65"/>
      <c r="DJ22" s="66"/>
      <c r="DK22" s="1"/>
    </row>
    <row r="23" ht="4.5" customHeight="1">
      <c r="A23" s="1"/>
      <c r="B23" s="94"/>
      <c r="C23" s="95"/>
      <c r="D23" s="95"/>
      <c r="E23" s="95"/>
      <c r="F23" s="95"/>
      <c r="G23" s="95"/>
      <c r="H23" s="95"/>
      <c r="I23" s="95"/>
      <c r="J23" s="95"/>
      <c r="K23" s="95"/>
      <c r="L23" s="95"/>
      <c r="M23" s="95"/>
      <c r="N23" s="95"/>
      <c r="O23" s="95"/>
      <c r="P23" s="95"/>
      <c r="Q23" s="95"/>
      <c r="R23" s="95"/>
      <c r="S23" s="95"/>
      <c r="T23" s="95"/>
      <c r="U23" s="95"/>
      <c r="V23" s="95"/>
      <c r="W23" s="95"/>
      <c r="X23" s="95"/>
      <c r="Y23" s="95"/>
      <c r="Z23" s="95"/>
      <c r="AA23" s="95"/>
      <c r="AB23" s="95"/>
      <c r="AC23" s="95"/>
      <c r="AD23" s="95"/>
      <c r="AE23" s="95"/>
      <c r="AF23" s="95"/>
      <c r="AG23" s="95"/>
      <c r="AH23" s="95"/>
      <c r="AI23" s="95"/>
      <c r="AJ23" s="95"/>
      <c r="AK23" s="95"/>
      <c r="AL23" s="95"/>
      <c r="AM23" s="95"/>
      <c r="AN23" s="95"/>
      <c r="AO23" s="95"/>
      <c r="AP23" s="95"/>
      <c r="AQ23" s="95"/>
      <c r="AR23" s="95"/>
      <c r="AS23" s="95"/>
      <c r="AT23" s="95"/>
      <c r="AU23" s="95"/>
      <c r="AV23" s="95"/>
      <c r="AW23" s="95"/>
      <c r="AX23" s="95"/>
      <c r="AY23" s="95"/>
      <c r="AZ23" s="95"/>
      <c r="BA23" s="95"/>
      <c r="BB23" s="95"/>
      <c r="BC23" s="95"/>
      <c r="BD23" s="95"/>
      <c r="BE23" s="95"/>
      <c r="BF23" s="95"/>
      <c r="BG23" s="95"/>
      <c r="BH23" s="95"/>
      <c r="BI23" s="95"/>
      <c r="BJ23" s="95"/>
      <c r="BK23" s="95"/>
      <c r="BL23" s="95"/>
      <c r="BM23" s="95"/>
      <c r="BN23" s="95"/>
      <c r="BO23" s="95"/>
      <c r="BP23" s="95"/>
      <c r="BQ23" s="95"/>
      <c r="BR23" s="95"/>
      <c r="BS23" s="95"/>
      <c r="BT23" s="95"/>
      <c r="BU23" s="95"/>
      <c r="BV23" s="95"/>
      <c r="BW23" s="95"/>
      <c r="BX23" s="95"/>
      <c r="BY23" s="95"/>
      <c r="BZ23" s="95"/>
      <c r="CA23" s="95"/>
      <c r="CB23" s="95"/>
      <c r="CC23" s="95"/>
      <c r="CD23" s="95"/>
      <c r="CE23" s="95"/>
      <c r="CF23" s="95"/>
      <c r="CG23" s="95"/>
      <c r="CH23" s="95"/>
      <c r="CI23" s="95"/>
      <c r="CJ23" s="95"/>
      <c r="CK23" s="95"/>
      <c r="CL23" s="95"/>
      <c r="CM23" s="95"/>
      <c r="CN23" s="95"/>
      <c r="CO23" s="95"/>
      <c r="CP23" s="95"/>
      <c r="CQ23" s="95"/>
      <c r="CR23" s="95"/>
      <c r="CS23" s="95"/>
      <c r="CT23" s="95"/>
      <c r="CU23" s="95"/>
      <c r="CV23" s="95"/>
      <c r="CW23" s="95"/>
      <c r="CX23" s="95"/>
      <c r="CY23" s="95"/>
      <c r="CZ23" s="95"/>
      <c r="DA23" s="95"/>
      <c r="DB23" s="95"/>
      <c r="DC23" s="95"/>
      <c r="DD23" s="95"/>
      <c r="DE23" s="95"/>
      <c r="DF23" s="95"/>
      <c r="DG23" s="95"/>
      <c r="DH23" s="95"/>
      <c r="DI23" s="95"/>
      <c r="DJ23" s="97"/>
      <c r="DK23" s="1"/>
    </row>
    <row r="24" ht="4.5" customHeight="1">
      <c r="A24" s="1"/>
      <c r="B24" s="39"/>
      <c r="C24" s="40"/>
      <c r="D24" s="22"/>
      <c r="E24" s="22"/>
      <c r="F24" s="22"/>
      <c r="G24" s="22"/>
      <c r="H24" s="22"/>
      <c r="I24" s="22"/>
      <c r="J24" s="22"/>
      <c r="K24" s="22"/>
      <c r="L24" s="22"/>
      <c r="M24" s="23"/>
      <c r="N24" s="46"/>
      <c r="O24" s="22"/>
      <c r="P24" s="22"/>
      <c r="Q24" s="22"/>
      <c r="R24" s="23"/>
      <c r="S24" s="47"/>
      <c r="T24" s="22"/>
      <c r="U24" s="22"/>
      <c r="V24" s="22"/>
      <c r="W24" s="22"/>
      <c r="X24" s="22"/>
      <c r="Y24" s="22"/>
      <c r="Z24" s="22"/>
      <c r="AA24" s="22"/>
      <c r="AB24" s="22"/>
      <c r="AC24" s="22"/>
      <c r="AD24" s="22"/>
      <c r="AE24" s="22"/>
      <c r="AF24" s="22"/>
      <c r="AG24" s="22"/>
      <c r="AH24" s="22"/>
      <c r="AI24" s="22"/>
      <c r="AJ24" s="22"/>
      <c r="AK24" s="22"/>
      <c r="AL24" s="23"/>
      <c r="AM24" s="41"/>
      <c r="AN24" s="41"/>
      <c r="AO24" s="48"/>
      <c r="AP24" s="48"/>
      <c r="AQ24" s="48"/>
      <c r="AR24" s="48"/>
      <c r="AS24" s="48"/>
      <c r="AT24" s="47"/>
      <c r="AU24" s="22"/>
      <c r="AV24" s="22"/>
      <c r="AW24" s="22"/>
      <c r="AX24" s="22"/>
      <c r="AY24" s="22"/>
      <c r="AZ24" s="22"/>
      <c r="BA24" s="22"/>
      <c r="BB24" s="22"/>
      <c r="BC24" s="22"/>
      <c r="BD24" s="22"/>
      <c r="BE24" s="22"/>
      <c r="BF24" s="22"/>
      <c r="BG24" s="22"/>
      <c r="BH24" s="22"/>
      <c r="BI24" s="22"/>
      <c r="BJ24" s="22"/>
      <c r="BK24" s="22"/>
      <c r="BL24" s="22"/>
      <c r="BM24" s="23"/>
      <c r="BN24" s="49"/>
      <c r="BO24" s="49"/>
      <c r="BP24" s="99"/>
      <c r="BQ24" s="22"/>
      <c r="BR24" s="22"/>
      <c r="BS24" s="22"/>
      <c r="BT24" s="23"/>
      <c r="BU24" s="47"/>
      <c r="BV24" s="22"/>
      <c r="BW24" s="22"/>
      <c r="BX24" s="22"/>
      <c r="BY24" s="22"/>
      <c r="BZ24" s="22"/>
      <c r="CA24" s="22"/>
      <c r="CB24" s="23"/>
      <c r="CC24" s="100"/>
      <c r="CD24" s="22"/>
      <c r="CE24" s="22"/>
      <c r="CF24" s="23"/>
      <c r="CG24" s="49"/>
      <c r="CH24" s="49"/>
      <c r="CI24" s="49"/>
      <c r="CJ24" s="49"/>
      <c r="CK24" s="49"/>
      <c r="CL24" s="49"/>
      <c r="CM24" s="43"/>
      <c r="CN24" s="43"/>
      <c r="CO24" s="43"/>
      <c r="CP24" s="43"/>
      <c r="CQ24" s="43"/>
      <c r="CR24" s="43"/>
      <c r="CS24" s="43"/>
      <c r="CT24" s="43"/>
      <c r="CU24" s="43"/>
      <c r="CV24" s="43"/>
      <c r="CW24" s="43"/>
      <c r="CX24" s="43"/>
      <c r="CY24" s="43"/>
      <c r="CZ24" s="43"/>
      <c r="DA24" s="43"/>
      <c r="DB24" s="43"/>
      <c r="DC24" s="43"/>
      <c r="DD24" s="43"/>
      <c r="DE24" s="43"/>
      <c r="DF24" s="43"/>
      <c r="DG24" s="43"/>
      <c r="DH24" s="49"/>
      <c r="DI24" s="49"/>
      <c r="DJ24" s="50"/>
      <c r="DK24" s="1"/>
    </row>
    <row r="25" ht="12.75" customHeight="1">
      <c r="A25" s="1"/>
      <c r="B25" s="51"/>
      <c r="C25" s="52" t="s">
        <v>56</v>
      </c>
      <c r="D25" s="53"/>
      <c r="E25" s="53"/>
      <c r="F25" s="53"/>
      <c r="G25" s="53"/>
      <c r="H25" s="53"/>
      <c r="I25" s="53"/>
      <c r="J25" s="53"/>
      <c r="K25" s="53"/>
      <c r="L25" s="53"/>
      <c r="M25" s="54"/>
      <c r="N25" s="62" t="s">
        <v>14</v>
      </c>
      <c r="O25" s="53"/>
      <c r="P25" s="53"/>
      <c r="Q25" s="53"/>
      <c r="R25" s="54"/>
      <c r="S25" s="63" t="s">
        <v>57</v>
      </c>
      <c r="T25" s="25"/>
      <c r="U25" s="25"/>
      <c r="V25" s="25"/>
      <c r="W25" s="25"/>
      <c r="X25" s="25"/>
      <c r="Y25" s="25"/>
      <c r="Z25" s="25"/>
      <c r="AA25" s="25"/>
      <c r="AB25" s="25"/>
      <c r="AC25" s="25"/>
      <c r="AD25" s="25"/>
      <c r="AE25" s="25"/>
      <c r="AF25" s="25"/>
      <c r="AG25" s="25"/>
      <c r="AH25" s="25"/>
      <c r="AI25" s="25"/>
      <c r="AJ25" s="25"/>
      <c r="AK25" s="25"/>
      <c r="AL25" s="57"/>
      <c r="AM25" s="55"/>
      <c r="AN25" s="55"/>
      <c r="AO25" s="64" t="s">
        <v>16</v>
      </c>
      <c r="AP25" s="64"/>
      <c r="AQ25" s="64"/>
      <c r="AR25" s="64"/>
      <c r="AS25" s="64"/>
      <c r="AT25" s="63" t="s">
        <v>58</v>
      </c>
      <c r="AU25" s="25"/>
      <c r="AV25" s="25"/>
      <c r="AW25" s="25"/>
      <c r="AX25" s="25"/>
      <c r="AY25" s="25"/>
      <c r="AZ25" s="25"/>
      <c r="BA25" s="25"/>
      <c r="BB25" s="25"/>
      <c r="BC25" s="25"/>
      <c r="BD25" s="25"/>
      <c r="BE25" s="25"/>
      <c r="BF25" s="25"/>
      <c r="BG25" s="25"/>
      <c r="BH25" s="25"/>
      <c r="BI25" s="25"/>
      <c r="BJ25" s="25"/>
      <c r="BK25" s="25"/>
      <c r="BL25" s="25"/>
      <c r="BM25" s="57"/>
      <c r="BN25" s="65"/>
      <c r="BO25" s="65"/>
      <c r="BP25" s="101" t="s">
        <v>59</v>
      </c>
      <c r="BQ25" s="53"/>
      <c r="BR25" s="53"/>
      <c r="BS25" s="53"/>
      <c r="BT25" s="54"/>
      <c r="BU25" s="63">
        <v>240.0</v>
      </c>
      <c r="BV25" s="25"/>
      <c r="BW25" s="25"/>
      <c r="BX25" s="25"/>
      <c r="BY25" s="25"/>
      <c r="BZ25" s="25"/>
      <c r="CA25" s="25"/>
      <c r="CB25" s="57"/>
      <c r="CC25" s="69" t="s">
        <v>50</v>
      </c>
      <c r="CD25" s="53"/>
      <c r="CE25" s="53"/>
      <c r="CF25" s="54"/>
      <c r="CG25" s="65"/>
      <c r="CH25" s="65"/>
      <c r="CI25" s="65"/>
      <c r="CJ25" s="65"/>
      <c r="CK25" s="65"/>
      <c r="CL25" s="65"/>
      <c r="CM25" s="56" t="s">
        <v>18</v>
      </c>
      <c r="CN25" s="57"/>
      <c r="CO25" s="59" t="s">
        <v>39</v>
      </c>
      <c r="CP25" s="59"/>
      <c r="CQ25" s="59"/>
      <c r="CR25" s="59"/>
      <c r="CS25" s="59"/>
      <c r="CT25" s="59"/>
      <c r="CU25" s="59"/>
      <c r="CV25" s="59"/>
      <c r="CW25" s="59"/>
      <c r="CX25" s="56"/>
      <c r="CY25" s="57"/>
      <c r="CZ25" s="59" t="s">
        <v>20</v>
      </c>
      <c r="DA25" s="59"/>
      <c r="DB25" s="59"/>
      <c r="DC25" s="59"/>
      <c r="DD25" s="59"/>
      <c r="DE25" s="59"/>
      <c r="DF25" s="59"/>
      <c r="DG25" s="59"/>
      <c r="DH25" s="65"/>
      <c r="DI25" s="65"/>
      <c r="DJ25" s="66"/>
      <c r="DK25" s="1"/>
    </row>
    <row r="26" ht="4.5" customHeight="1">
      <c r="A26" s="1"/>
      <c r="B26" s="51"/>
      <c r="C26" s="65"/>
      <c r="D26" s="59"/>
      <c r="E26" s="59"/>
      <c r="F26" s="59"/>
      <c r="G26" s="59"/>
      <c r="H26" s="59"/>
      <c r="I26" s="59"/>
      <c r="J26" s="59"/>
      <c r="K26" s="59"/>
      <c r="L26" s="59"/>
      <c r="M26" s="59"/>
      <c r="N26" s="59"/>
      <c r="O26" s="59"/>
      <c r="P26" s="59"/>
      <c r="Q26" s="59"/>
      <c r="R26" s="59"/>
      <c r="S26" s="59"/>
      <c r="T26" s="59"/>
      <c r="U26" s="59"/>
      <c r="V26" s="59"/>
      <c r="W26" s="59"/>
      <c r="X26" s="59"/>
      <c r="Y26" s="65"/>
      <c r="Z26" s="65"/>
      <c r="AA26" s="65"/>
      <c r="AB26" s="65"/>
      <c r="AC26" s="65"/>
      <c r="AD26" s="65"/>
      <c r="AE26" s="65"/>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65"/>
      <c r="BX26" s="65"/>
      <c r="BY26" s="65"/>
      <c r="BZ26" s="65"/>
      <c r="CA26" s="65"/>
      <c r="CB26" s="65"/>
      <c r="CC26" s="65"/>
      <c r="CD26" s="65"/>
      <c r="CE26" s="65"/>
      <c r="CF26" s="65"/>
      <c r="CG26" s="59"/>
      <c r="CH26" s="59"/>
      <c r="CI26" s="59"/>
      <c r="CJ26" s="59"/>
      <c r="CK26" s="59"/>
      <c r="CL26" s="59"/>
      <c r="CM26" s="59"/>
      <c r="CN26" s="59"/>
      <c r="CO26" s="59"/>
      <c r="CP26" s="59"/>
      <c r="CQ26" s="59"/>
      <c r="CR26" s="59"/>
      <c r="CS26" s="59"/>
      <c r="CT26" s="59"/>
      <c r="CU26" s="59"/>
      <c r="CV26" s="59"/>
      <c r="CW26" s="59"/>
      <c r="CX26" s="59"/>
      <c r="CY26" s="59"/>
      <c r="CZ26" s="59"/>
      <c r="DA26" s="59"/>
      <c r="DB26" s="65"/>
      <c r="DC26" s="65"/>
      <c r="DD26" s="65"/>
      <c r="DE26" s="65"/>
      <c r="DF26" s="65"/>
      <c r="DG26" s="65"/>
      <c r="DH26" s="65"/>
      <c r="DI26" s="65"/>
      <c r="DJ26" s="66"/>
      <c r="DK26" s="1"/>
    </row>
    <row r="27" ht="12.75" customHeight="1">
      <c r="A27" s="1"/>
      <c r="B27" s="51"/>
      <c r="C27" s="65"/>
      <c r="D27" s="65"/>
      <c r="E27" s="65"/>
      <c r="F27" s="65"/>
      <c r="G27" s="65"/>
      <c r="H27" s="65"/>
      <c r="I27" s="65"/>
      <c r="J27" s="67" t="s">
        <v>21</v>
      </c>
      <c r="K27" s="53"/>
      <c r="L27" s="53"/>
      <c r="M27" s="53"/>
      <c r="N27" s="53"/>
      <c r="O27" s="53"/>
      <c r="P27" s="53"/>
      <c r="Q27" s="53"/>
      <c r="R27" s="53"/>
      <c r="S27" s="54"/>
      <c r="T27" s="73" t="s">
        <v>60</v>
      </c>
      <c r="U27" s="25"/>
      <c r="V27" s="25"/>
      <c r="W27" s="25"/>
      <c r="X27" s="25"/>
      <c r="Y27" s="25"/>
      <c r="Z27" s="25"/>
      <c r="AA27" s="25"/>
      <c r="AB27" s="25"/>
      <c r="AC27" s="25"/>
      <c r="AD27" s="25"/>
      <c r="AE27" s="25"/>
      <c r="AF27" s="25"/>
      <c r="AG27" s="25"/>
      <c r="AH27" s="25"/>
      <c r="AI27" s="25"/>
      <c r="AJ27" s="57"/>
      <c r="AK27" s="65"/>
      <c r="AL27" s="65"/>
      <c r="AM27" s="52" t="s">
        <v>61</v>
      </c>
      <c r="AN27" s="53"/>
      <c r="AO27" s="53"/>
      <c r="AP27" s="53"/>
      <c r="AQ27" s="53"/>
      <c r="AR27" s="53"/>
      <c r="AS27" s="53"/>
      <c r="AT27" s="53"/>
      <c r="AU27" s="53"/>
      <c r="AV27" s="53"/>
      <c r="AW27" s="53"/>
      <c r="AX27" s="54"/>
      <c r="AY27" s="59"/>
      <c r="AZ27" s="56"/>
      <c r="BA27" s="57"/>
      <c r="BB27" s="60" t="s">
        <v>62</v>
      </c>
      <c r="BC27" s="53"/>
      <c r="BD27" s="53"/>
      <c r="BE27" s="53"/>
      <c r="BF27" s="54"/>
      <c r="BG27" s="65"/>
      <c r="BH27" s="65"/>
      <c r="BI27" s="56" t="s">
        <v>18</v>
      </c>
      <c r="BJ27" s="57"/>
      <c r="BK27" s="60" t="s">
        <v>63</v>
      </c>
      <c r="BL27" s="53"/>
      <c r="BM27" s="53"/>
      <c r="BN27" s="53"/>
      <c r="BO27" s="53"/>
      <c r="BP27" s="53"/>
      <c r="BQ27" s="54"/>
      <c r="BR27" s="65"/>
      <c r="BS27" s="65"/>
      <c r="BT27" s="60" t="s">
        <v>64</v>
      </c>
      <c r="BU27" s="53"/>
      <c r="BV27" s="53"/>
      <c r="BW27" s="53"/>
      <c r="BX27" s="53"/>
      <c r="BY27" s="53"/>
      <c r="BZ27" s="53"/>
      <c r="CA27" s="53"/>
      <c r="CB27" s="53"/>
      <c r="CC27" s="53"/>
      <c r="CD27" s="53"/>
      <c r="CE27" s="54"/>
      <c r="CF27" s="63">
        <v>210.0</v>
      </c>
      <c r="CG27" s="25"/>
      <c r="CH27" s="25"/>
      <c r="CI27" s="25"/>
      <c r="CJ27" s="25"/>
      <c r="CK27" s="57"/>
      <c r="CL27" s="70" t="s">
        <v>25</v>
      </c>
      <c r="CM27" s="53"/>
      <c r="CN27" s="54"/>
      <c r="CO27" s="65"/>
      <c r="CP27" s="60" t="s">
        <v>65</v>
      </c>
      <c r="CQ27" s="53"/>
      <c r="CR27" s="53"/>
      <c r="CS27" s="53"/>
      <c r="CT27" s="53"/>
      <c r="CU27" s="53"/>
      <c r="CV27" s="53"/>
      <c r="CW27" s="53"/>
      <c r="CX27" s="53"/>
      <c r="CY27" s="54"/>
      <c r="CZ27" s="63"/>
      <c r="DA27" s="25"/>
      <c r="DB27" s="25"/>
      <c r="DC27" s="25"/>
      <c r="DD27" s="25"/>
      <c r="DE27" s="57"/>
      <c r="DF27" s="70" t="s">
        <v>25</v>
      </c>
      <c r="DG27" s="53"/>
      <c r="DH27" s="54"/>
      <c r="DI27" s="65"/>
      <c r="DJ27" s="66"/>
      <c r="DK27" s="1"/>
    </row>
    <row r="28" ht="4.5" customHeight="1">
      <c r="A28" s="1"/>
      <c r="B28" s="94"/>
      <c r="C28" s="95"/>
      <c r="D28" s="95"/>
      <c r="E28" s="95"/>
      <c r="F28" s="95"/>
      <c r="G28" s="95"/>
      <c r="H28" s="95"/>
      <c r="I28" s="95"/>
      <c r="J28" s="95"/>
      <c r="K28" s="95"/>
      <c r="L28" s="95"/>
      <c r="M28" s="95"/>
      <c r="N28" s="95"/>
      <c r="O28" s="95"/>
      <c r="P28" s="95"/>
      <c r="Q28" s="95"/>
      <c r="R28" s="95"/>
      <c r="S28" s="95"/>
      <c r="T28" s="95"/>
      <c r="U28" s="95"/>
      <c r="V28" s="95"/>
      <c r="W28" s="95"/>
      <c r="X28" s="95"/>
      <c r="Y28" s="95"/>
      <c r="Z28" s="95"/>
      <c r="AA28" s="95"/>
      <c r="AB28" s="95"/>
      <c r="AC28" s="95"/>
      <c r="AD28" s="95"/>
      <c r="AE28" s="95"/>
      <c r="AF28" s="95"/>
      <c r="AG28" s="95"/>
      <c r="AH28" s="95"/>
      <c r="AI28" s="95"/>
      <c r="AJ28" s="95"/>
      <c r="AK28" s="95"/>
      <c r="AL28" s="95"/>
      <c r="AM28" s="95"/>
      <c r="AN28" s="95"/>
      <c r="AO28" s="95"/>
      <c r="AP28" s="95"/>
      <c r="AQ28" s="95"/>
      <c r="AR28" s="95"/>
      <c r="AS28" s="95"/>
      <c r="AT28" s="95"/>
      <c r="AU28" s="95"/>
      <c r="AV28" s="95"/>
      <c r="AW28" s="95"/>
      <c r="AX28" s="95"/>
      <c r="AY28" s="95"/>
      <c r="AZ28" s="95"/>
      <c r="BA28" s="95"/>
      <c r="BB28" s="95"/>
      <c r="BC28" s="95"/>
      <c r="BD28" s="95"/>
      <c r="BE28" s="95"/>
      <c r="BF28" s="95"/>
      <c r="BG28" s="95"/>
      <c r="BH28" s="95"/>
      <c r="BI28" s="95"/>
      <c r="BJ28" s="95"/>
      <c r="BK28" s="95"/>
      <c r="BL28" s="95"/>
      <c r="BM28" s="95"/>
      <c r="BN28" s="95"/>
      <c r="BO28" s="95"/>
      <c r="BP28" s="95"/>
      <c r="BQ28" s="95"/>
      <c r="BR28" s="95"/>
      <c r="BS28" s="95"/>
      <c r="BT28" s="95"/>
      <c r="BU28" s="95"/>
      <c r="BV28" s="95"/>
      <c r="BW28" s="95"/>
      <c r="BX28" s="95"/>
      <c r="BY28" s="95"/>
      <c r="BZ28" s="95"/>
      <c r="CA28" s="95"/>
      <c r="CB28" s="95"/>
      <c r="CC28" s="95"/>
      <c r="CD28" s="95"/>
      <c r="CE28" s="95"/>
      <c r="CF28" s="95"/>
      <c r="CG28" s="95"/>
      <c r="CH28" s="95"/>
      <c r="CI28" s="95"/>
      <c r="CJ28" s="95"/>
      <c r="CK28" s="95"/>
      <c r="CL28" s="95"/>
      <c r="CM28" s="95"/>
      <c r="CN28" s="95"/>
      <c r="CO28" s="95"/>
      <c r="CP28" s="95"/>
      <c r="CQ28" s="95"/>
      <c r="CR28" s="95"/>
      <c r="CS28" s="95"/>
      <c r="CT28" s="95"/>
      <c r="CU28" s="95"/>
      <c r="CV28" s="95"/>
      <c r="CW28" s="95"/>
      <c r="CX28" s="95"/>
      <c r="CY28" s="95"/>
      <c r="CZ28" s="95"/>
      <c r="DA28" s="95"/>
      <c r="DB28" s="95"/>
      <c r="DC28" s="95"/>
      <c r="DD28" s="95"/>
      <c r="DE28" s="95"/>
      <c r="DF28" s="95"/>
      <c r="DG28" s="95"/>
      <c r="DH28" s="95"/>
      <c r="DI28" s="95"/>
      <c r="DJ28" s="97"/>
      <c r="DK28" s="1"/>
    </row>
    <row r="29" ht="4.5" customHeight="1">
      <c r="A29" s="1"/>
      <c r="B29" s="39"/>
      <c r="C29" s="40"/>
      <c r="D29" s="22"/>
      <c r="E29" s="22"/>
      <c r="F29" s="22"/>
      <c r="G29" s="22"/>
      <c r="H29" s="22"/>
      <c r="I29" s="22"/>
      <c r="J29" s="22"/>
      <c r="K29" s="22"/>
      <c r="L29" s="22"/>
      <c r="M29" s="22"/>
      <c r="N29" s="22"/>
      <c r="O29" s="22"/>
      <c r="P29" s="22"/>
      <c r="Q29" s="22"/>
      <c r="R29" s="22"/>
      <c r="S29" s="22"/>
      <c r="T29" s="23"/>
      <c r="U29" s="49"/>
      <c r="V29" s="49"/>
      <c r="W29" s="43"/>
      <c r="X29" s="43"/>
      <c r="Y29" s="44"/>
      <c r="Z29" s="22"/>
      <c r="AA29" s="22"/>
      <c r="AB29" s="22"/>
      <c r="AC29" s="23"/>
      <c r="AD29" s="49"/>
      <c r="AE29" s="49"/>
      <c r="AF29" s="43"/>
      <c r="AG29" s="43"/>
      <c r="AH29" s="43"/>
      <c r="AI29" s="43"/>
      <c r="AJ29" s="43"/>
      <c r="AK29" s="43"/>
      <c r="AL29" s="43"/>
      <c r="AM29" s="49"/>
      <c r="AN29" s="49"/>
      <c r="AO29" s="46"/>
      <c r="AP29" s="22"/>
      <c r="AQ29" s="22"/>
      <c r="AR29" s="22"/>
      <c r="AS29" s="22"/>
      <c r="AT29" s="22"/>
      <c r="AU29" s="22"/>
      <c r="AV29" s="22"/>
      <c r="AW29" s="22"/>
      <c r="AX29" s="22"/>
      <c r="AY29" s="23"/>
      <c r="AZ29" s="47"/>
      <c r="BA29" s="22"/>
      <c r="BB29" s="22"/>
      <c r="BC29" s="22"/>
      <c r="BD29" s="22"/>
      <c r="BE29" s="23"/>
      <c r="BF29" s="100"/>
      <c r="BG29" s="22"/>
      <c r="BH29" s="23"/>
      <c r="BI29" s="49"/>
      <c r="BJ29" s="49"/>
      <c r="BK29" s="47"/>
      <c r="BL29" s="22"/>
      <c r="BM29" s="22"/>
      <c r="BN29" s="22"/>
      <c r="BO29" s="22"/>
      <c r="BP29" s="23"/>
      <c r="BQ29" s="40"/>
      <c r="BR29" s="22"/>
      <c r="BS29" s="23"/>
      <c r="BT29" s="49"/>
      <c r="BU29" s="49"/>
      <c r="BV29" s="44"/>
      <c r="BW29" s="22"/>
      <c r="BX29" s="22"/>
      <c r="BY29" s="22"/>
      <c r="BZ29" s="22"/>
      <c r="CA29" s="22"/>
      <c r="CB29" s="23"/>
      <c r="CC29" s="47"/>
      <c r="CD29" s="22"/>
      <c r="CE29" s="22"/>
      <c r="CF29" s="22"/>
      <c r="CG29" s="22"/>
      <c r="CH29" s="22"/>
      <c r="CI29" s="22"/>
      <c r="CJ29" s="22"/>
      <c r="CK29" s="22"/>
      <c r="CL29" s="22"/>
      <c r="CM29" s="22"/>
      <c r="CN29" s="22"/>
      <c r="CO29" s="22"/>
      <c r="CP29" s="22"/>
      <c r="CQ29" s="22"/>
      <c r="CR29" s="23"/>
      <c r="CS29" s="49"/>
      <c r="CT29" s="49"/>
      <c r="CU29" s="49"/>
      <c r="CV29" s="49"/>
      <c r="CW29" s="49"/>
      <c r="CX29" s="49"/>
      <c r="CY29" s="49"/>
      <c r="CZ29" s="49"/>
      <c r="DA29" s="49"/>
      <c r="DB29" s="49"/>
      <c r="DC29" s="49"/>
      <c r="DD29" s="49"/>
      <c r="DE29" s="49"/>
      <c r="DF29" s="49"/>
      <c r="DG29" s="49"/>
      <c r="DH29" s="49"/>
      <c r="DI29" s="49"/>
      <c r="DJ29" s="50"/>
      <c r="DK29" s="1"/>
    </row>
    <row r="30" ht="13.5" customHeight="1">
      <c r="A30" s="1"/>
      <c r="B30" s="51"/>
      <c r="C30" s="52" t="s">
        <v>66</v>
      </c>
      <c r="D30" s="53"/>
      <c r="E30" s="53"/>
      <c r="F30" s="53"/>
      <c r="G30" s="53"/>
      <c r="H30" s="53"/>
      <c r="I30" s="53"/>
      <c r="J30" s="53"/>
      <c r="K30" s="53"/>
      <c r="L30" s="53"/>
      <c r="M30" s="53"/>
      <c r="N30" s="53"/>
      <c r="O30" s="53"/>
      <c r="P30" s="53"/>
      <c r="Q30" s="53"/>
      <c r="R30" s="53"/>
      <c r="S30" s="53"/>
      <c r="T30" s="54"/>
      <c r="U30" s="65"/>
      <c r="V30" s="65"/>
      <c r="W30" s="56"/>
      <c r="X30" s="57"/>
      <c r="Y30" s="60" t="s">
        <v>67</v>
      </c>
      <c r="Z30" s="53"/>
      <c r="AA30" s="53"/>
      <c r="AB30" s="53"/>
      <c r="AC30" s="54"/>
      <c r="AD30" s="65"/>
      <c r="AE30" s="65"/>
      <c r="AF30" s="56" t="s">
        <v>18</v>
      </c>
      <c r="AG30" s="57"/>
      <c r="AH30" s="59" t="s">
        <v>68</v>
      </c>
      <c r="AI30" s="59"/>
      <c r="AJ30" s="59"/>
      <c r="AK30" s="59"/>
      <c r="AL30" s="59"/>
      <c r="AM30" s="65"/>
      <c r="AN30" s="65"/>
      <c r="AO30" s="62" t="s">
        <v>69</v>
      </c>
      <c r="AP30" s="53"/>
      <c r="AQ30" s="53"/>
      <c r="AR30" s="53"/>
      <c r="AS30" s="53"/>
      <c r="AT30" s="53"/>
      <c r="AU30" s="53"/>
      <c r="AV30" s="53"/>
      <c r="AW30" s="53"/>
      <c r="AX30" s="53"/>
      <c r="AY30" s="54"/>
      <c r="AZ30" s="63">
        <v>15.0</v>
      </c>
      <c r="BA30" s="25"/>
      <c r="BB30" s="25"/>
      <c r="BC30" s="25"/>
      <c r="BD30" s="25"/>
      <c r="BE30" s="57"/>
      <c r="BF30" s="69" t="s">
        <v>70</v>
      </c>
      <c r="BG30" s="53"/>
      <c r="BH30" s="54"/>
      <c r="BI30" s="65"/>
      <c r="BJ30" s="65"/>
      <c r="BK30" s="63">
        <f>AZ30/2.31</f>
        <v>6.493506494</v>
      </c>
      <c r="BL30" s="25"/>
      <c r="BM30" s="25"/>
      <c r="BN30" s="25"/>
      <c r="BO30" s="25"/>
      <c r="BP30" s="57"/>
      <c r="BQ30" s="52" t="s">
        <v>25</v>
      </c>
      <c r="BR30" s="53"/>
      <c r="BS30" s="54"/>
      <c r="BT30" s="65"/>
      <c r="BU30" s="65"/>
      <c r="BV30" s="60" t="s">
        <v>71</v>
      </c>
      <c r="BW30" s="53"/>
      <c r="BX30" s="53"/>
      <c r="BY30" s="53"/>
      <c r="BZ30" s="53"/>
      <c r="CA30" s="53"/>
      <c r="CB30" s="54"/>
      <c r="CC30" s="63" t="s">
        <v>72</v>
      </c>
      <c r="CD30" s="25"/>
      <c r="CE30" s="25"/>
      <c r="CF30" s="25"/>
      <c r="CG30" s="25"/>
      <c r="CH30" s="25"/>
      <c r="CI30" s="25"/>
      <c r="CJ30" s="25"/>
      <c r="CK30" s="25"/>
      <c r="CL30" s="25"/>
      <c r="CM30" s="25"/>
      <c r="CN30" s="25"/>
      <c r="CO30" s="25"/>
      <c r="CP30" s="25"/>
      <c r="CQ30" s="25"/>
      <c r="CR30" s="57"/>
      <c r="CS30" s="65"/>
      <c r="CT30" s="65"/>
      <c r="CU30" s="65"/>
      <c r="CV30" s="65"/>
      <c r="CW30" s="65"/>
      <c r="CX30" s="65"/>
      <c r="CY30" s="65"/>
      <c r="CZ30" s="65"/>
      <c r="DA30" s="65"/>
      <c r="DB30" s="65"/>
      <c r="DC30" s="65"/>
      <c r="DD30" s="65"/>
      <c r="DE30" s="65"/>
      <c r="DF30" s="65"/>
      <c r="DG30" s="65"/>
      <c r="DH30" s="65"/>
      <c r="DI30" s="65"/>
      <c r="DJ30" s="66"/>
      <c r="DK30" s="1"/>
    </row>
    <row r="31" ht="4.5" customHeight="1">
      <c r="A31" s="1"/>
      <c r="B31" s="105"/>
      <c r="C31" s="106"/>
      <c r="D31" s="107"/>
      <c r="E31" s="107"/>
      <c r="F31" s="107"/>
      <c r="G31" s="107"/>
      <c r="H31" s="107"/>
      <c r="I31" s="107"/>
      <c r="J31" s="107"/>
      <c r="K31" s="107"/>
      <c r="L31" s="107"/>
      <c r="M31" s="107"/>
      <c r="N31" s="107"/>
      <c r="O31" s="107"/>
      <c r="P31" s="107"/>
      <c r="Q31" s="107"/>
      <c r="R31" s="107"/>
      <c r="S31" s="107"/>
      <c r="T31" s="108"/>
      <c r="U31" s="109"/>
      <c r="V31" s="109"/>
      <c r="W31" s="110"/>
      <c r="X31" s="110"/>
      <c r="Y31" s="111"/>
      <c r="Z31" s="107"/>
      <c r="AA31" s="107"/>
      <c r="AB31" s="107"/>
      <c r="AC31" s="108"/>
      <c r="AD31" s="109"/>
      <c r="AE31" s="109"/>
      <c r="AF31" s="110"/>
      <c r="AG31" s="110"/>
      <c r="AH31" s="110"/>
      <c r="AI31" s="110"/>
      <c r="AJ31" s="110"/>
      <c r="AK31" s="110"/>
      <c r="AL31" s="110"/>
      <c r="AM31" s="109"/>
      <c r="AN31" s="109"/>
      <c r="AO31" s="112"/>
      <c r="AP31" s="107"/>
      <c r="AQ31" s="107"/>
      <c r="AR31" s="107"/>
      <c r="AS31" s="107"/>
      <c r="AT31" s="107"/>
      <c r="AU31" s="107"/>
      <c r="AV31" s="107"/>
      <c r="AW31" s="107"/>
      <c r="AX31" s="107"/>
      <c r="AY31" s="108"/>
      <c r="AZ31" s="113"/>
      <c r="BA31" s="107"/>
      <c r="BB31" s="107"/>
      <c r="BC31" s="107"/>
      <c r="BD31" s="107"/>
      <c r="BE31" s="108"/>
      <c r="BF31" s="114"/>
      <c r="BG31" s="107"/>
      <c r="BH31" s="108"/>
      <c r="BI31" s="109"/>
      <c r="BJ31" s="109"/>
      <c r="BK31" s="113"/>
      <c r="BL31" s="107"/>
      <c r="BM31" s="107"/>
      <c r="BN31" s="107"/>
      <c r="BO31" s="107"/>
      <c r="BP31" s="108"/>
      <c r="BQ31" s="106"/>
      <c r="BR31" s="107"/>
      <c r="BS31" s="108"/>
      <c r="BT31" s="109"/>
      <c r="BU31" s="109"/>
      <c r="BV31" s="111"/>
      <c r="BW31" s="107"/>
      <c r="BX31" s="107"/>
      <c r="BY31" s="107"/>
      <c r="BZ31" s="107"/>
      <c r="CA31" s="107"/>
      <c r="CB31" s="108"/>
      <c r="CC31" s="113"/>
      <c r="CD31" s="107"/>
      <c r="CE31" s="107"/>
      <c r="CF31" s="107"/>
      <c r="CG31" s="107"/>
      <c r="CH31" s="107"/>
      <c r="CI31" s="107"/>
      <c r="CJ31" s="107"/>
      <c r="CK31" s="107"/>
      <c r="CL31" s="107"/>
      <c r="CM31" s="107"/>
      <c r="CN31" s="107"/>
      <c r="CO31" s="107"/>
      <c r="CP31" s="107"/>
      <c r="CQ31" s="107"/>
      <c r="CR31" s="108"/>
      <c r="CS31" s="109"/>
      <c r="CT31" s="109"/>
      <c r="CU31" s="109"/>
      <c r="CV31" s="109"/>
      <c r="CW31" s="109"/>
      <c r="CX31" s="109"/>
      <c r="CY31" s="109"/>
      <c r="CZ31" s="109"/>
      <c r="DA31" s="109"/>
      <c r="DB31" s="109"/>
      <c r="DC31" s="109"/>
      <c r="DD31" s="109"/>
      <c r="DE31" s="109"/>
      <c r="DF31" s="109"/>
      <c r="DG31" s="109"/>
      <c r="DH31" s="109"/>
      <c r="DI31" s="109"/>
      <c r="DJ31" s="115"/>
      <c r="DK31" s="1"/>
    </row>
    <row r="32" ht="22.5" customHeight="1">
      <c r="A32" s="1"/>
      <c r="B32" s="117" t="s">
        <v>73</v>
      </c>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29"/>
      <c r="CO32" s="29"/>
      <c r="CP32" s="29"/>
      <c r="CQ32" s="29"/>
      <c r="CR32" s="29"/>
      <c r="CS32" s="29"/>
      <c r="CT32" s="29"/>
      <c r="CU32" s="29"/>
      <c r="CV32" s="29"/>
      <c r="CW32" s="29"/>
      <c r="CX32" s="29"/>
      <c r="CY32" s="29"/>
      <c r="CZ32" s="29"/>
      <c r="DA32" s="29"/>
      <c r="DB32" s="29"/>
      <c r="DC32" s="29"/>
      <c r="DD32" s="29"/>
      <c r="DE32" s="29"/>
      <c r="DF32" s="29"/>
      <c r="DG32" s="29"/>
      <c r="DH32" s="29"/>
      <c r="DI32" s="29"/>
      <c r="DJ32" s="38"/>
      <c r="DK32" s="1"/>
    </row>
    <row r="33" ht="12.75" customHeight="1">
      <c r="A33" s="1"/>
      <c r="B33" s="118" t="s">
        <v>74</v>
      </c>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119"/>
      <c r="DK33" s="1"/>
    </row>
    <row r="34" ht="4.5" customHeight="1">
      <c r="A34" s="1"/>
      <c r="B34" s="51"/>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5"/>
      <c r="BD34" s="65"/>
      <c r="BE34" s="65"/>
      <c r="BF34" s="65"/>
      <c r="BG34" s="65"/>
      <c r="BH34" s="65"/>
      <c r="BI34" s="65"/>
      <c r="BJ34" s="65"/>
      <c r="BK34" s="65"/>
      <c r="BL34" s="65"/>
      <c r="BM34" s="65"/>
      <c r="BN34" s="65"/>
      <c r="BO34" s="65"/>
      <c r="BP34" s="65"/>
      <c r="BQ34" s="65"/>
      <c r="BR34" s="65"/>
      <c r="BS34" s="65"/>
      <c r="BT34" s="65"/>
      <c r="BU34" s="65"/>
      <c r="BV34" s="65"/>
      <c r="BW34" s="65"/>
      <c r="BX34" s="65"/>
      <c r="BY34" s="65"/>
      <c r="BZ34" s="65"/>
      <c r="CA34" s="65"/>
      <c r="CB34" s="65"/>
      <c r="CC34" s="65"/>
      <c r="CD34" s="65"/>
      <c r="CE34" s="65"/>
      <c r="CF34" s="65"/>
      <c r="CG34" s="65"/>
      <c r="CH34" s="65"/>
      <c r="CI34" s="65"/>
      <c r="CJ34" s="65"/>
      <c r="CK34" s="65"/>
      <c r="CL34" s="65"/>
      <c r="CM34" s="65"/>
      <c r="CN34" s="65"/>
      <c r="CO34" s="65"/>
      <c r="CP34" s="65"/>
      <c r="CQ34" s="65"/>
      <c r="CR34" s="65"/>
      <c r="CS34" s="65"/>
      <c r="CT34" s="65"/>
      <c r="CU34" s="65"/>
      <c r="CV34" s="65"/>
      <c r="CW34" s="65"/>
      <c r="CX34" s="65"/>
      <c r="CY34" s="65"/>
      <c r="CZ34" s="65"/>
      <c r="DA34" s="65"/>
      <c r="DB34" s="65"/>
      <c r="DC34" s="65"/>
      <c r="DD34" s="65"/>
      <c r="DE34" s="65"/>
      <c r="DF34" s="65"/>
      <c r="DG34" s="65"/>
      <c r="DH34" s="65"/>
      <c r="DI34" s="65"/>
      <c r="DJ34" s="66"/>
      <c r="DK34" s="1"/>
    </row>
    <row r="35" ht="18.0" customHeight="1">
      <c r="A35" s="1"/>
      <c r="B35" s="51"/>
      <c r="C35" s="65"/>
      <c r="D35" s="121" t="s">
        <v>45</v>
      </c>
      <c r="E35" s="90"/>
      <c r="F35" s="90"/>
      <c r="G35" s="90"/>
      <c r="H35" s="90"/>
      <c r="I35" s="91"/>
      <c r="J35" s="121" t="s">
        <v>48</v>
      </c>
      <c r="K35" s="90"/>
      <c r="L35" s="90"/>
      <c r="M35" s="90"/>
      <c r="N35" s="90"/>
      <c r="O35" s="90"/>
      <c r="P35" s="91"/>
      <c r="Q35" s="121" t="s">
        <v>49</v>
      </c>
      <c r="R35" s="90"/>
      <c r="S35" s="90"/>
      <c r="T35" s="90"/>
      <c r="U35" s="90"/>
      <c r="V35" s="90"/>
      <c r="W35" s="91"/>
      <c r="X35" s="121" t="s">
        <v>51</v>
      </c>
      <c r="Y35" s="90"/>
      <c r="Z35" s="90"/>
      <c r="AA35" s="90"/>
      <c r="AB35" s="90"/>
      <c r="AC35" s="90"/>
      <c r="AD35" s="91"/>
      <c r="AE35" s="121" t="s">
        <v>52</v>
      </c>
      <c r="AF35" s="90"/>
      <c r="AG35" s="90"/>
      <c r="AH35" s="90"/>
      <c r="AI35" s="90"/>
      <c r="AJ35" s="90"/>
      <c r="AK35" s="91"/>
      <c r="AL35" s="121" t="s">
        <v>53</v>
      </c>
      <c r="AM35" s="90"/>
      <c r="AN35" s="90"/>
      <c r="AO35" s="90"/>
      <c r="AP35" s="90"/>
      <c r="AQ35" s="90"/>
      <c r="AR35" s="91"/>
      <c r="AS35" s="122" t="s">
        <v>75</v>
      </c>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57"/>
      <c r="CE35" s="122" t="s">
        <v>76</v>
      </c>
      <c r="CF35" s="25"/>
      <c r="CG35" s="25"/>
      <c r="CH35" s="25"/>
      <c r="CI35" s="25"/>
      <c r="CJ35" s="25"/>
      <c r="CK35" s="25"/>
      <c r="CL35" s="25"/>
      <c r="CM35" s="25"/>
      <c r="CN35" s="25"/>
      <c r="CO35" s="25"/>
      <c r="CP35" s="25"/>
      <c r="CQ35" s="25"/>
      <c r="CR35" s="25"/>
      <c r="CS35" s="57"/>
      <c r="CT35" s="122" t="s">
        <v>77</v>
      </c>
      <c r="CU35" s="25"/>
      <c r="CV35" s="25"/>
      <c r="CW35" s="25"/>
      <c r="CX35" s="25"/>
      <c r="CY35" s="25"/>
      <c r="CZ35" s="25"/>
      <c r="DA35" s="25"/>
      <c r="DB35" s="25"/>
      <c r="DC35" s="25"/>
      <c r="DD35" s="25"/>
      <c r="DE35" s="25"/>
      <c r="DF35" s="25"/>
      <c r="DG35" s="25"/>
      <c r="DH35" s="57"/>
      <c r="DI35" s="65"/>
      <c r="DJ35" s="66"/>
      <c r="DK35" s="1"/>
    </row>
    <row r="36" ht="18.0" customHeight="1">
      <c r="A36" s="1"/>
      <c r="B36" s="51"/>
      <c r="C36" s="65"/>
      <c r="D36" s="96"/>
      <c r="E36" s="13"/>
      <c r="F36" s="13"/>
      <c r="G36" s="13"/>
      <c r="H36" s="13"/>
      <c r="I36" s="14"/>
      <c r="J36" s="96"/>
      <c r="K36" s="13"/>
      <c r="L36" s="13"/>
      <c r="M36" s="13"/>
      <c r="N36" s="13"/>
      <c r="O36" s="13"/>
      <c r="P36" s="14"/>
      <c r="Q36" s="96"/>
      <c r="R36" s="13"/>
      <c r="S36" s="13"/>
      <c r="T36" s="13"/>
      <c r="U36" s="13"/>
      <c r="V36" s="13"/>
      <c r="W36" s="14"/>
      <c r="X36" s="96"/>
      <c r="Y36" s="13"/>
      <c r="Z36" s="13"/>
      <c r="AA36" s="13"/>
      <c r="AB36" s="13"/>
      <c r="AC36" s="13"/>
      <c r="AD36" s="14"/>
      <c r="AE36" s="96"/>
      <c r="AF36" s="13"/>
      <c r="AG36" s="13"/>
      <c r="AH36" s="13"/>
      <c r="AI36" s="13"/>
      <c r="AJ36" s="13"/>
      <c r="AK36" s="14"/>
      <c r="AL36" s="96"/>
      <c r="AM36" s="13"/>
      <c r="AN36" s="13"/>
      <c r="AO36" s="13"/>
      <c r="AP36" s="13"/>
      <c r="AQ36" s="13"/>
      <c r="AR36" s="14"/>
      <c r="AS36" s="122" t="s">
        <v>78</v>
      </c>
      <c r="AT36" s="25"/>
      <c r="AU36" s="25"/>
      <c r="AV36" s="25"/>
      <c r="AW36" s="25"/>
      <c r="AX36" s="25"/>
      <c r="AY36" s="25"/>
      <c r="AZ36" s="122" t="s">
        <v>79</v>
      </c>
      <c r="BA36" s="25"/>
      <c r="BB36" s="25"/>
      <c r="BC36" s="25"/>
      <c r="BD36" s="25"/>
      <c r="BE36" s="25"/>
      <c r="BF36" s="57"/>
      <c r="BG36" s="122" t="s">
        <v>80</v>
      </c>
      <c r="BH36" s="25"/>
      <c r="BI36" s="25"/>
      <c r="BJ36" s="25"/>
      <c r="BK36" s="25"/>
      <c r="BL36" s="57"/>
      <c r="BM36" s="122" t="s">
        <v>81</v>
      </c>
      <c r="BN36" s="25"/>
      <c r="BO36" s="25"/>
      <c r="BP36" s="25"/>
      <c r="BQ36" s="25"/>
      <c r="BR36" s="57"/>
      <c r="BS36" s="122" t="s">
        <v>82</v>
      </c>
      <c r="BT36" s="25"/>
      <c r="BU36" s="25"/>
      <c r="BV36" s="25"/>
      <c r="BW36" s="25"/>
      <c r="BX36" s="57"/>
      <c r="BY36" s="122" t="s">
        <v>83</v>
      </c>
      <c r="BZ36" s="25"/>
      <c r="CA36" s="25"/>
      <c r="CB36" s="25"/>
      <c r="CC36" s="25"/>
      <c r="CD36" s="57"/>
      <c r="CE36" s="122" t="s">
        <v>84</v>
      </c>
      <c r="CF36" s="25"/>
      <c r="CG36" s="25"/>
      <c r="CH36" s="25"/>
      <c r="CI36" s="57"/>
      <c r="CJ36" s="122" t="s">
        <v>85</v>
      </c>
      <c r="CK36" s="25"/>
      <c r="CL36" s="25"/>
      <c r="CM36" s="25"/>
      <c r="CN36" s="57"/>
      <c r="CO36" s="122" t="s">
        <v>86</v>
      </c>
      <c r="CP36" s="25"/>
      <c r="CQ36" s="25"/>
      <c r="CR36" s="25"/>
      <c r="CS36" s="57"/>
      <c r="CT36" s="122" t="s">
        <v>87</v>
      </c>
      <c r="CU36" s="25"/>
      <c r="CV36" s="25"/>
      <c r="CW36" s="25"/>
      <c r="CX36" s="57"/>
      <c r="CY36" s="122" t="s">
        <v>88</v>
      </c>
      <c r="CZ36" s="25"/>
      <c r="DA36" s="25"/>
      <c r="DB36" s="25"/>
      <c r="DC36" s="57"/>
      <c r="DD36" s="122" t="s">
        <v>89</v>
      </c>
      <c r="DE36" s="25"/>
      <c r="DF36" s="25"/>
      <c r="DG36" s="25"/>
      <c r="DH36" s="57"/>
      <c r="DI36" s="65"/>
      <c r="DJ36" s="66"/>
      <c r="DK36" s="1"/>
    </row>
    <row r="37" ht="12.75" customHeight="1">
      <c r="A37" s="1"/>
      <c r="B37" s="51"/>
      <c r="C37" s="65"/>
      <c r="D37" s="102">
        <f t="shared" ref="D37:D41" si="1">J37/$T$15*100</f>
        <v>0</v>
      </c>
      <c r="E37" s="25"/>
      <c r="F37" s="25"/>
      <c r="G37" s="25"/>
      <c r="H37" s="25"/>
      <c r="I37" s="57"/>
      <c r="J37" s="123">
        <v>0.0</v>
      </c>
      <c r="K37" s="25"/>
      <c r="L37" s="25"/>
      <c r="M37" s="25"/>
      <c r="N37" s="25"/>
      <c r="O37" s="25"/>
      <c r="P37" s="57"/>
      <c r="Q37" s="123">
        <v>1811.0</v>
      </c>
      <c r="R37" s="25"/>
      <c r="S37" s="25"/>
      <c r="T37" s="25"/>
      <c r="U37" s="25"/>
      <c r="V37" s="25"/>
      <c r="W37" s="57"/>
      <c r="X37" s="124">
        <v>180.0</v>
      </c>
      <c r="Y37" s="25"/>
      <c r="Z37" s="25"/>
      <c r="AA37" s="25"/>
      <c r="AB37" s="25"/>
      <c r="AC37" s="25"/>
      <c r="AD37" s="57"/>
      <c r="AE37" s="123">
        <v>7.0</v>
      </c>
      <c r="AF37" s="25"/>
      <c r="AG37" s="25"/>
      <c r="AH37" s="25"/>
      <c r="AI37" s="25"/>
      <c r="AJ37" s="25"/>
      <c r="AK37" s="57"/>
      <c r="AL37" s="98">
        <f t="shared" ref="AL37:AL41" si="2">X37-AE37</f>
        <v>173</v>
      </c>
      <c r="AM37" s="25"/>
      <c r="AN37" s="25"/>
      <c r="AO37" s="25"/>
      <c r="AP37" s="25"/>
      <c r="AQ37" s="25"/>
      <c r="AR37" s="57"/>
      <c r="AS37" s="123"/>
      <c r="AT37" s="25"/>
      <c r="AU37" s="25"/>
      <c r="AV37" s="25"/>
      <c r="AW37" s="25"/>
      <c r="AX37" s="25"/>
      <c r="AY37" s="57"/>
      <c r="AZ37" s="123"/>
      <c r="BA37" s="25"/>
      <c r="BB37" s="25"/>
      <c r="BC37" s="25"/>
      <c r="BD37" s="25"/>
      <c r="BE37" s="25"/>
      <c r="BF37" s="57"/>
      <c r="BG37" s="124"/>
      <c r="BH37" s="25"/>
      <c r="BI37" s="25"/>
      <c r="BJ37" s="25"/>
      <c r="BK37" s="25"/>
      <c r="BL37" s="57"/>
      <c r="BM37" s="124"/>
      <c r="BN37" s="25"/>
      <c r="BO37" s="25"/>
      <c r="BP37" s="25"/>
      <c r="BQ37" s="25"/>
      <c r="BR37" s="57"/>
      <c r="BS37" s="124"/>
      <c r="BT37" s="25"/>
      <c r="BU37" s="25"/>
      <c r="BV37" s="25"/>
      <c r="BW37" s="25"/>
      <c r="BX37" s="57"/>
      <c r="BY37" s="124"/>
      <c r="BZ37" s="25"/>
      <c r="CA37" s="25"/>
      <c r="CB37" s="25"/>
      <c r="CC37" s="25"/>
      <c r="CD37" s="57"/>
      <c r="CE37" s="124"/>
      <c r="CF37" s="25"/>
      <c r="CG37" s="25"/>
      <c r="CH37" s="25"/>
      <c r="CI37" s="57"/>
      <c r="CJ37" s="124"/>
      <c r="CK37" s="25"/>
      <c r="CL37" s="25"/>
      <c r="CM37" s="25"/>
      <c r="CN37" s="57"/>
      <c r="CO37" s="124"/>
      <c r="CP37" s="25"/>
      <c r="CQ37" s="25"/>
      <c r="CR37" s="25"/>
      <c r="CS37" s="57"/>
      <c r="CT37" s="124"/>
      <c r="CU37" s="25"/>
      <c r="CV37" s="25"/>
      <c r="CW37" s="25"/>
      <c r="CX37" s="57"/>
      <c r="CY37" s="124"/>
      <c r="CZ37" s="25"/>
      <c r="DA37" s="25"/>
      <c r="DB37" s="25"/>
      <c r="DC37" s="57"/>
      <c r="DD37" s="124"/>
      <c r="DE37" s="25"/>
      <c r="DF37" s="25"/>
      <c r="DG37" s="25"/>
      <c r="DH37" s="57"/>
      <c r="DI37" s="65"/>
      <c r="DJ37" s="66"/>
      <c r="DK37" s="1"/>
    </row>
    <row r="38" ht="12.75" customHeight="1">
      <c r="A38" s="1"/>
      <c r="B38" s="51"/>
      <c r="C38" s="65"/>
      <c r="D38" s="102">
        <f t="shared" si="1"/>
        <v>50</v>
      </c>
      <c r="E38" s="25"/>
      <c r="F38" s="25"/>
      <c r="G38" s="25"/>
      <c r="H38" s="25"/>
      <c r="I38" s="57"/>
      <c r="J38" s="123">
        <v>1500.0</v>
      </c>
      <c r="K38" s="25"/>
      <c r="L38" s="25"/>
      <c r="M38" s="25"/>
      <c r="N38" s="25"/>
      <c r="O38" s="25"/>
      <c r="P38" s="57"/>
      <c r="Q38" s="123">
        <v>1805.0</v>
      </c>
      <c r="R38" s="25"/>
      <c r="S38" s="25"/>
      <c r="T38" s="25"/>
      <c r="U38" s="25"/>
      <c r="V38" s="25"/>
      <c r="W38" s="57"/>
      <c r="X38" s="124">
        <v>170.0</v>
      </c>
      <c r="Y38" s="25"/>
      <c r="Z38" s="25"/>
      <c r="AA38" s="25"/>
      <c r="AB38" s="25"/>
      <c r="AC38" s="25"/>
      <c r="AD38" s="57"/>
      <c r="AE38" s="123">
        <v>6.5</v>
      </c>
      <c r="AF38" s="25"/>
      <c r="AG38" s="25"/>
      <c r="AH38" s="25"/>
      <c r="AI38" s="25"/>
      <c r="AJ38" s="25"/>
      <c r="AK38" s="57"/>
      <c r="AL38" s="98">
        <f t="shared" si="2"/>
        <v>163.5</v>
      </c>
      <c r="AM38" s="25"/>
      <c r="AN38" s="25"/>
      <c r="AO38" s="25"/>
      <c r="AP38" s="25"/>
      <c r="AQ38" s="25"/>
      <c r="AR38" s="57"/>
      <c r="AS38" s="124"/>
      <c r="AT38" s="25"/>
      <c r="AU38" s="25"/>
      <c r="AV38" s="25"/>
      <c r="AW38" s="25"/>
      <c r="AX38" s="25"/>
      <c r="AY38" s="57"/>
      <c r="AZ38" s="124"/>
      <c r="BA38" s="25"/>
      <c r="BB38" s="25"/>
      <c r="BC38" s="25"/>
      <c r="BD38" s="25"/>
      <c r="BE38" s="25"/>
      <c r="BF38" s="57"/>
      <c r="BG38" s="124"/>
      <c r="BH38" s="25"/>
      <c r="BI38" s="25"/>
      <c r="BJ38" s="25"/>
      <c r="BK38" s="25"/>
      <c r="BL38" s="57"/>
      <c r="BM38" s="124"/>
      <c r="BN38" s="25"/>
      <c r="BO38" s="25"/>
      <c r="BP38" s="25"/>
      <c r="BQ38" s="25"/>
      <c r="BR38" s="57"/>
      <c r="BS38" s="124"/>
      <c r="BT38" s="25"/>
      <c r="BU38" s="25"/>
      <c r="BV38" s="25"/>
      <c r="BW38" s="25"/>
      <c r="BX38" s="57"/>
      <c r="BY38" s="124"/>
      <c r="BZ38" s="25"/>
      <c r="CA38" s="25"/>
      <c r="CB38" s="25"/>
      <c r="CC38" s="25"/>
      <c r="CD38" s="57"/>
      <c r="CE38" s="124"/>
      <c r="CF38" s="25"/>
      <c r="CG38" s="25"/>
      <c r="CH38" s="25"/>
      <c r="CI38" s="57"/>
      <c r="CJ38" s="124"/>
      <c r="CK38" s="25"/>
      <c r="CL38" s="25"/>
      <c r="CM38" s="25"/>
      <c r="CN38" s="57"/>
      <c r="CO38" s="124"/>
      <c r="CP38" s="25"/>
      <c r="CQ38" s="25"/>
      <c r="CR38" s="25"/>
      <c r="CS38" s="57"/>
      <c r="CT38" s="124"/>
      <c r="CU38" s="25"/>
      <c r="CV38" s="25"/>
      <c r="CW38" s="25"/>
      <c r="CX38" s="57"/>
      <c r="CY38" s="124"/>
      <c r="CZ38" s="25"/>
      <c r="DA38" s="25"/>
      <c r="DB38" s="25"/>
      <c r="DC38" s="57"/>
      <c r="DD38" s="124"/>
      <c r="DE38" s="25"/>
      <c r="DF38" s="25"/>
      <c r="DG38" s="25"/>
      <c r="DH38" s="57"/>
      <c r="DI38" s="65"/>
      <c r="DJ38" s="66"/>
      <c r="DK38" s="1"/>
    </row>
    <row r="39" ht="12.75" customHeight="1">
      <c r="A39" s="1"/>
      <c r="B39" s="51"/>
      <c r="C39" s="65"/>
      <c r="D39" s="102">
        <f t="shared" si="1"/>
        <v>100</v>
      </c>
      <c r="E39" s="25"/>
      <c r="F39" s="25"/>
      <c r="G39" s="25"/>
      <c r="H39" s="25"/>
      <c r="I39" s="57"/>
      <c r="J39" s="123">
        <v>3000.0</v>
      </c>
      <c r="K39" s="25"/>
      <c r="L39" s="25"/>
      <c r="M39" s="25"/>
      <c r="N39" s="25"/>
      <c r="O39" s="25"/>
      <c r="P39" s="57"/>
      <c r="Q39" s="123">
        <v>1800.0</v>
      </c>
      <c r="R39" s="25"/>
      <c r="S39" s="25"/>
      <c r="T39" s="25"/>
      <c r="U39" s="25"/>
      <c r="V39" s="25"/>
      <c r="W39" s="57"/>
      <c r="X39" s="124">
        <v>155.0</v>
      </c>
      <c r="Y39" s="25"/>
      <c r="Z39" s="25"/>
      <c r="AA39" s="25"/>
      <c r="AB39" s="25"/>
      <c r="AC39" s="25"/>
      <c r="AD39" s="57"/>
      <c r="AE39" s="123">
        <v>6.5</v>
      </c>
      <c r="AF39" s="25"/>
      <c r="AG39" s="25"/>
      <c r="AH39" s="25"/>
      <c r="AI39" s="25"/>
      <c r="AJ39" s="25"/>
      <c r="AK39" s="57"/>
      <c r="AL39" s="98">
        <f t="shared" si="2"/>
        <v>148.5</v>
      </c>
      <c r="AM39" s="25"/>
      <c r="AN39" s="25"/>
      <c r="AO39" s="25"/>
      <c r="AP39" s="25"/>
      <c r="AQ39" s="25"/>
      <c r="AR39" s="57"/>
      <c r="AS39" s="124"/>
      <c r="AT39" s="25"/>
      <c r="AU39" s="25"/>
      <c r="AV39" s="25"/>
      <c r="AW39" s="25"/>
      <c r="AX39" s="25"/>
      <c r="AY39" s="57"/>
      <c r="AZ39" s="124"/>
      <c r="BA39" s="25"/>
      <c r="BB39" s="25"/>
      <c r="BC39" s="25"/>
      <c r="BD39" s="25"/>
      <c r="BE39" s="25"/>
      <c r="BF39" s="57"/>
      <c r="BG39" s="124"/>
      <c r="BH39" s="25"/>
      <c r="BI39" s="25"/>
      <c r="BJ39" s="25"/>
      <c r="BK39" s="25"/>
      <c r="BL39" s="57"/>
      <c r="BM39" s="124"/>
      <c r="BN39" s="25"/>
      <c r="BO39" s="25"/>
      <c r="BP39" s="25"/>
      <c r="BQ39" s="25"/>
      <c r="BR39" s="57"/>
      <c r="BS39" s="124"/>
      <c r="BT39" s="25"/>
      <c r="BU39" s="25"/>
      <c r="BV39" s="25"/>
      <c r="BW39" s="25"/>
      <c r="BX39" s="57"/>
      <c r="BY39" s="124"/>
      <c r="BZ39" s="25"/>
      <c r="CA39" s="25"/>
      <c r="CB39" s="25"/>
      <c r="CC39" s="25"/>
      <c r="CD39" s="57"/>
      <c r="CE39" s="124"/>
      <c r="CF39" s="25"/>
      <c r="CG39" s="25"/>
      <c r="CH39" s="25"/>
      <c r="CI39" s="57"/>
      <c r="CJ39" s="124"/>
      <c r="CK39" s="25"/>
      <c r="CL39" s="25"/>
      <c r="CM39" s="25"/>
      <c r="CN39" s="57"/>
      <c r="CO39" s="124"/>
      <c r="CP39" s="25"/>
      <c r="CQ39" s="25"/>
      <c r="CR39" s="25"/>
      <c r="CS39" s="57"/>
      <c r="CT39" s="124"/>
      <c r="CU39" s="25"/>
      <c r="CV39" s="25"/>
      <c r="CW39" s="25"/>
      <c r="CX39" s="57"/>
      <c r="CY39" s="124"/>
      <c r="CZ39" s="25"/>
      <c r="DA39" s="25"/>
      <c r="DB39" s="25"/>
      <c r="DC39" s="57"/>
      <c r="DD39" s="124"/>
      <c r="DE39" s="25"/>
      <c r="DF39" s="25"/>
      <c r="DG39" s="25"/>
      <c r="DH39" s="57"/>
      <c r="DI39" s="65"/>
      <c r="DJ39" s="66"/>
      <c r="DK39" s="1"/>
    </row>
    <row r="40" ht="12.75" customHeight="1">
      <c r="A40" s="1"/>
      <c r="B40" s="51"/>
      <c r="C40" s="65"/>
      <c r="D40" s="102">
        <f t="shared" si="1"/>
        <v>125</v>
      </c>
      <c r="E40" s="25"/>
      <c r="F40" s="25"/>
      <c r="G40" s="25"/>
      <c r="H40" s="25"/>
      <c r="I40" s="57"/>
      <c r="J40" s="123">
        <v>3750.0</v>
      </c>
      <c r="K40" s="25"/>
      <c r="L40" s="25"/>
      <c r="M40" s="25"/>
      <c r="N40" s="25"/>
      <c r="O40" s="25"/>
      <c r="P40" s="57"/>
      <c r="Q40" s="123">
        <v>1790.0</v>
      </c>
      <c r="R40" s="25"/>
      <c r="S40" s="25"/>
      <c r="T40" s="25"/>
      <c r="U40" s="25"/>
      <c r="V40" s="25"/>
      <c r="W40" s="57"/>
      <c r="X40" s="124">
        <v>135.0</v>
      </c>
      <c r="Y40" s="25"/>
      <c r="Z40" s="25"/>
      <c r="AA40" s="25"/>
      <c r="AB40" s="25"/>
      <c r="AC40" s="25"/>
      <c r="AD40" s="57"/>
      <c r="AE40" s="123">
        <v>6.0</v>
      </c>
      <c r="AF40" s="25"/>
      <c r="AG40" s="25"/>
      <c r="AH40" s="25"/>
      <c r="AI40" s="25"/>
      <c r="AJ40" s="25"/>
      <c r="AK40" s="57"/>
      <c r="AL40" s="98">
        <f t="shared" si="2"/>
        <v>129</v>
      </c>
      <c r="AM40" s="25"/>
      <c r="AN40" s="25"/>
      <c r="AO40" s="25"/>
      <c r="AP40" s="25"/>
      <c r="AQ40" s="25"/>
      <c r="AR40" s="57"/>
      <c r="AS40" s="124"/>
      <c r="AT40" s="25"/>
      <c r="AU40" s="25"/>
      <c r="AV40" s="25"/>
      <c r="AW40" s="25"/>
      <c r="AX40" s="25"/>
      <c r="AY40" s="57"/>
      <c r="AZ40" s="124"/>
      <c r="BA40" s="25"/>
      <c r="BB40" s="25"/>
      <c r="BC40" s="25"/>
      <c r="BD40" s="25"/>
      <c r="BE40" s="25"/>
      <c r="BF40" s="57"/>
      <c r="BG40" s="124"/>
      <c r="BH40" s="25"/>
      <c r="BI40" s="25"/>
      <c r="BJ40" s="25"/>
      <c r="BK40" s="25"/>
      <c r="BL40" s="57"/>
      <c r="BM40" s="124"/>
      <c r="BN40" s="25"/>
      <c r="BO40" s="25"/>
      <c r="BP40" s="25"/>
      <c r="BQ40" s="25"/>
      <c r="BR40" s="57"/>
      <c r="BS40" s="124"/>
      <c r="BT40" s="25"/>
      <c r="BU40" s="25"/>
      <c r="BV40" s="25"/>
      <c r="BW40" s="25"/>
      <c r="BX40" s="57"/>
      <c r="BY40" s="124"/>
      <c r="BZ40" s="25"/>
      <c r="CA40" s="25"/>
      <c r="CB40" s="25"/>
      <c r="CC40" s="25"/>
      <c r="CD40" s="57"/>
      <c r="CE40" s="124"/>
      <c r="CF40" s="25"/>
      <c r="CG40" s="25"/>
      <c r="CH40" s="25"/>
      <c r="CI40" s="57"/>
      <c r="CJ40" s="124"/>
      <c r="CK40" s="25"/>
      <c r="CL40" s="25"/>
      <c r="CM40" s="25"/>
      <c r="CN40" s="57"/>
      <c r="CO40" s="124"/>
      <c r="CP40" s="25"/>
      <c r="CQ40" s="25"/>
      <c r="CR40" s="25"/>
      <c r="CS40" s="57"/>
      <c r="CT40" s="124"/>
      <c r="CU40" s="25"/>
      <c r="CV40" s="25"/>
      <c r="CW40" s="25"/>
      <c r="CX40" s="57"/>
      <c r="CY40" s="124"/>
      <c r="CZ40" s="25"/>
      <c r="DA40" s="25"/>
      <c r="DB40" s="25"/>
      <c r="DC40" s="57"/>
      <c r="DD40" s="124"/>
      <c r="DE40" s="25"/>
      <c r="DF40" s="25"/>
      <c r="DG40" s="25"/>
      <c r="DH40" s="57"/>
      <c r="DI40" s="65"/>
      <c r="DJ40" s="66"/>
      <c r="DK40" s="1"/>
    </row>
    <row r="41" ht="12.75" customHeight="1">
      <c r="A41" s="1"/>
      <c r="B41" s="51"/>
      <c r="C41" s="65"/>
      <c r="D41" s="102">
        <f t="shared" si="1"/>
        <v>150</v>
      </c>
      <c r="E41" s="25"/>
      <c r="F41" s="25"/>
      <c r="G41" s="25"/>
      <c r="H41" s="25"/>
      <c r="I41" s="57"/>
      <c r="J41" s="123">
        <v>4500.0</v>
      </c>
      <c r="K41" s="25"/>
      <c r="L41" s="25"/>
      <c r="M41" s="25"/>
      <c r="N41" s="25"/>
      <c r="O41" s="25"/>
      <c r="P41" s="57"/>
      <c r="Q41" s="123">
        <v>1783.0</v>
      </c>
      <c r="R41" s="25"/>
      <c r="S41" s="25"/>
      <c r="T41" s="25"/>
      <c r="U41" s="25"/>
      <c r="V41" s="25"/>
      <c r="W41" s="57"/>
      <c r="X41" s="124">
        <v>115.0</v>
      </c>
      <c r="Y41" s="25"/>
      <c r="Z41" s="25"/>
      <c r="AA41" s="25"/>
      <c r="AB41" s="25"/>
      <c r="AC41" s="25"/>
      <c r="AD41" s="57"/>
      <c r="AE41" s="123">
        <v>5.5</v>
      </c>
      <c r="AF41" s="25"/>
      <c r="AG41" s="25"/>
      <c r="AH41" s="25"/>
      <c r="AI41" s="25"/>
      <c r="AJ41" s="25"/>
      <c r="AK41" s="57"/>
      <c r="AL41" s="98">
        <f t="shared" si="2"/>
        <v>109.5</v>
      </c>
      <c r="AM41" s="25"/>
      <c r="AN41" s="25"/>
      <c r="AO41" s="25"/>
      <c r="AP41" s="25"/>
      <c r="AQ41" s="25"/>
      <c r="AR41" s="57"/>
      <c r="AS41" s="124"/>
      <c r="AT41" s="25"/>
      <c r="AU41" s="25"/>
      <c r="AV41" s="25"/>
      <c r="AW41" s="25"/>
      <c r="AX41" s="25"/>
      <c r="AY41" s="57"/>
      <c r="AZ41" s="124"/>
      <c r="BA41" s="25"/>
      <c r="BB41" s="25"/>
      <c r="BC41" s="25"/>
      <c r="BD41" s="25"/>
      <c r="BE41" s="25"/>
      <c r="BF41" s="57"/>
      <c r="BG41" s="124"/>
      <c r="BH41" s="25"/>
      <c r="BI41" s="25"/>
      <c r="BJ41" s="25"/>
      <c r="BK41" s="25"/>
      <c r="BL41" s="57"/>
      <c r="BM41" s="124"/>
      <c r="BN41" s="25"/>
      <c r="BO41" s="25"/>
      <c r="BP41" s="25"/>
      <c r="BQ41" s="25"/>
      <c r="BR41" s="57"/>
      <c r="BS41" s="124"/>
      <c r="BT41" s="25"/>
      <c r="BU41" s="25"/>
      <c r="BV41" s="25"/>
      <c r="BW41" s="25"/>
      <c r="BX41" s="57"/>
      <c r="BY41" s="124"/>
      <c r="BZ41" s="25"/>
      <c r="CA41" s="25"/>
      <c r="CB41" s="25"/>
      <c r="CC41" s="25"/>
      <c r="CD41" s="57"/>
      <c r="CE41" s="124"/>
      <c r="CF41" s="25"/>
      <c r="CG41" s="25"/>
      <c r="CH41" s="25"/>
      <c r="CI41" s="57"/>
      <c r="CJ41" s="124"/>
      <c r="CK41" s="25"/>
      <c r="CL41" s="25"/>
      <c r="CM41" s="25"/>
      <c r="CN41" s="57"/>
      <c r="CO41" s="124"/>
      <c r="CP41" s="25"/>
      <c r="CQ41" s="25"/>
      <c r="CR41" s="25"/>
      <c r="CS41" s="57"/>
      <c r="CT41" s="124"/>
      <c r="CU41" s="25"/>
      <c r="CV41" s="25"/>
      <c r="CW41" s="25"/>
      <c r="CX41" s="57"/>
      <c r="CY41" s="124"/>
      <c r="CZ41" s="25"/>
      <c r="DA41" s="25"/>
      <c r="DB41" s="25"/>
      <c r="DC41" s="57"/>
      <c r="DD41" s="124"/>
      <c r="DE41" s="25"/>
      <c r="DF41" s="25"/>
      <c r="DG41" s="25"/>
      <c r="DH41" s="57"/>
      <c r="DI41" s="65"/>
      <c r="DJ41" s="66"/>
      <c r="DK41" s="1"/>
    </row>
    <row r="42" ht="4.5" customHeight="1">
      <c r="A42" s="1"/>
      <c r="B42" s="51"/>
      <c r="C42" s="65"/>
      <c r="D42" s="65"/>
      <c r="E42" s="65"/>
      <c r="F42" s="65"/>
      <c r="G42" s="65"/>
      <c r="H42" s="65"/>
      <c r="I42" s="65"/>
      <c r="J42" s="65"/>
      <c r="K42" s="65"/>
      <c r="L42" s="65"/>
      <c r="M42" s="65"/>
      <c r="N42" s="65"/>
      <c r="O42" s="65"/>
      <c r="P42" s="65"/>
      <c r="Q42" s="65"/>
      <c r="R42" s="65"/>
      <c r="S42" s="65"/>
      <c r="T42" s="65"/>
      <c r="U42" s="65"/>
      <c r="V42" s="65"/>
      <c r="W42" s="65"/>
      <c r="X42" s="65"/>
      <c r="Y42" s="65"/>
      <c r="Z42" s="65"/>
      <c r="AA42" s="65"/>
      <c r="AB42" s="65"/>
      <c r="AC42" s="65"/>
      <c r="AD42" s="65"/>
      <c r="AE42" s="65"/>
      <c r="AF42" s="65"/>
      <c r="AG42" s="65"/>
      <c r="AH42" s="65"/>
      <c r="AI42" s="65"/>
      <c r="AJ42" s="65"/>
      <c r="AK42" s="65"/>
      <c r="AL42" s="65"/>
      <c r="AM42" s="65"/>
      <c r="AN42" s="65"/>
      <c r="AO42" s="65"/>
      <c r="AP42" s="65"/>
      <c r="AQ42" s="65"/>
      <c r="AR42" s="65"/>
      <c r="AS42" s="65"/>
      <c r="AT42" s="65"/>
      <c r="AU42" s="65"/>
      <c r="AV42" s="65"/>
      <c r="AW42" s="65"/>
      <c r="AX42" s="65"/>
      <c r="AY42" s="65"/>
      <c r="AZ42" s="65"/>
      <c r="BA42" s="65"/>
      <c r="BB42" s="65"/>
      <c r="BC42" s="65"/>
      <c r="BD42" s="65"/>
      <c r="BE42" s="65"/>
      <c r="BF42" s="65"/>
      <c r="BG42" s="65"/>
      <c r="BH42" s="65"/>
      <c r="BI42" s="65"/>
      <c r="BJ42" s="65"/>
      <c r="BK42" s="65"/>
      <c r="BL42" s="65"/>
      <c r="BM42" s="65"/>
      <c r="BN42" s="65"/>
      <c r="BO42" s="65"/>
      <c r="BP42" s="65"/>
      <c r="BQ42" s="65"/>
      <c r="BR42" s="65"/>
      <c r="BS42" s="65"/>
      <c r="BT42" s="65"/>
      <c r="BU42" s="65"/>
      <c r="BV42" s="65"/>
      <c r="BW42" s="65"/>
      <c r="BX42" s="65"/>
      <c r="BY42" s="65"/>
      <c r="BZ42" s="65"/>
      <c r="CA42" s="65"/>
      <c r="CB42" s="65"/>
      <c r="CC42" s="65"/>
      <c r="CD42" s="65"/>
      <c r="CE42" s="65"/>
      <c r="CF42" s="65"/>
      <c r="CG42" s="65"/>
      <c r="CH42" s="65"/>
      <c r="CI42" s="65"/>
      <c r="CJ42" s="65"/>
      <c r="CK42" s="65"/>
      <c r="CL42" s="65"/>
      <c r="CM42" s="65"/>
      <c r="CN42" s="65"/>
      <c r="CO42" s="65"/>
      <c r="CP42" s="65"/>
      <c r="CQ42" s="65"/>
      <c r="CR42" s="65"/>
      <c r="CS42" s="65"/>
      <c r="CT42" s="65"/>
      <c r="CU42" s="65"/>
      <c r="CV42" s="65"/>
      <c r="CW42" s="65"/>
      <c r="CX42" s="65"/>
      <c r="CY42" s="65"/>
      <c r="CZ42" s="65"/>
      <c r="DA42" s="65"/>
      <c r="DB42" s="65"/>
      <c r="DC42" s="65"/>
      <c r="DD42" s="65"/>
      <c r="DE42" s="65"/>
      <c r="DF42" s="65"/>
      <c r="DG42" s="65"/>
      <c r="DH42" s="65"/>
      <c r="DI42" s="65"/>
      <c r="DJ42" s="66"/>
      <c r="DK42" s="1"/>
    </row>
    <row r="43" ht="12.75" customHeight="1">
      <c r="A43" s="1"/>
      <c r="B43" s="37" t="s">
        <v>90</v>
      </c>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29"/>
      <c r="BJ43" s="29"/>
      <c r="BK43" s="29"/>
      <c r="BL43" s="29"/>
      <c r="BM43" s="29"/>
      <c r="BN43" s="29"/>
      <c r="BO43" s="29"/>
      <c r="BP43" s="29"/>
      <c r="BQ43" s="29"/>
      <c r="BR43" s="29"/>
      <c r="BS43" s="29"/>
      <c r="BT43" s="29"/>
      <c r="BU43" s="29"/>
      <c r="BV43" s="29"/>
      <c r="BW43" s="29"/>
      <c r="BX43" s="29"/>
      <c r="BY43" s="29"/>
      <c r="BZ43" s="29"/>
      <c r="CA43" s="29"/>
      <c r="CB43" s="29"/>
      <c r="CC43" s="29"/>
      <c r="CD43" s="29"/>
      <c r="CE43" s="29"/>
      <c r="CF43" s="29"/>
      <c r="CG43" s="29"/>
      <c r="CH43" s="29"/>
      <c r="CI43" s="29"/>
      <c r="CJ43" s="29"/>
      <c r="CK43" s="29"/>
      <c r="CL43" s="29"/>
      <c r="CM43" s="29"/>
      <c r="CN43" s="29"/>
      <c r="CO43" s="29"/>
      <c r="CP43" s="29"/>
      <c r="CQ43" s="29"/>
      <c r="CR43" s="29"/>
      <c r="CS43" s="29"/>
      <c r="CT43" s="29"/>
      <c r="CU43" s="29"/>
      <c r="CV43" s="29"/>
      <c r="CW43" s="29"/>
      <c r="CX43" s="29"/>
      <c r="CY43" s="29"/>
      <c r="CZ43" s="29"/>
      <c r="DA43" s="29"/>
      <c r="DB43" s="29"/>
      <c r="DC43" s="29"/>
      <c r="DD43" s="29"/>
      <c r="DE43" s="29"/>
      <c r="DF43" s="29"/>
      <c r="DG43" s="29"/>
      <c r="DH43" s="29"/>
      <c r="DI43" s="29"/>
      <c r="DJ43" s="38"/>
      <c r="DK43" s="1"/>
    </row>
    <row r="44" ht="12.75" customHeight="1">
      <c r="A44" s="1"/>
      <c r="B44" s="39"/>
      <c r="C44" s="126" t="s">
        <v>91</v>
      </c>
      <c r="D44" s="90"/>
      <c r="E44" s="90"/>
      <c r="F44" s="90"/>
      <c r="G44" s="90"/>
      <c r="H44" s="90"/>
      <c r="I44" s="90"/>
      <c r="J44" s="90"/>
      <c r="K44" s="90"/>
      <c r="L44" s="90"/>
      <c r="M44" s="90"/>
      <c r="N44" s="90"/>
      <c r="O44" s="90"/>
      <c r="P44" s="90"/>
      <c r="Q44" s="90"/>
      <c r="R44" s="90"/>
      <c r="S44" s="90"/>
      <c r="T44" s="90"/>
      <c r="U44" s="90"/>
      <c r="V44" s="90"/>
      <c r="W44" s="90"/>
      <c r="X44" s="90"/>
      <c r="Y44" s="127"/>
      <c r="Z44" s="128"/>
      <c r="AA44" s="49"/>
      <c r="AB44" s="126" t="s">
        <v>92</v>
      </c>
      <c r="AC44" s="90"/>
      <c r="AD44" s="90"/>
      <c r="AE44" s="90"/>
      <c r="AF44" s="90"/>
      <c r="AG44" s="90"/>
      <c r="AH44" s="90"/>
      <c r="AI44" s="90"/>
      <c r="AJ44" s="90"/>
      <c r="AK44" s="90"/>
      <c r="AL44" s="90"/>
      <c r="AM44" s="90"/>
      <c r="AN44" s="90"/>
      <c r="AO44" s="90"/>
      <c r="AP44" s="90"/>
      <c r="AQ44" s="90"/>
      <c r="AR44" s="90"/>
      <c r="AS44" s="90"/>
      <c r="AT44" s="90"/>
      <c r="AU44" s="90"/>
      <c r="AV44" s="90"/>
      <c r="AW44" s="90"/>
      <c r="AX44" s="90"/>
      <c r="AY44" s="90"/>
      <c r="AZ44" s="90"/>
      <c r="BA44" s="90"/>
      <c r="BB44" s="90"/>
      <c r="BC44" s="90"/>
      <c r="BD44" s="90"/>
      <c r="BE44" s="90"/>
      <c r="BF44" s="90"/>
      <c r="BG44" s="90"/>
      <c r="BH44" s="90"/>
      <c r="BI44" s="90"/>
      <c r="BJ44" s="90"/>
      <c r="BK44" s="90"/>
      <c r="BL44" s="90"/>
      <c r="BM44" s="90"/>
      <c r="BN44" s="90"/>
      <c r="BO44" s="90"/>
      <c r="BP44" s="90"/>
      <c r="BQ44" s="90"/>
      <c r="BR44" s="90"/>
      <c r="BS44" s="90"/>
      <c r="BT44" s="90"/>
      <c r="BU44" s="90"/>
      <c r="BV44" s="90"/>
      <c r="BW44" s="90"/>
      <c r="BX44" s="90"/>
      <c r="BY44" s="90"/>
      <c r="BZ44" s="90"/>
      <c r="CA44" s="90"/>
      <c r="CB44" s="90"/>
      <c r="CC44" s="90"/>
      <c r="CD44" s="90"/>
      <c r="CE44" s="90"/>
      <c r="CF44" s="127"/>
      <c r="CG44" s="128"/>
      <c r="CH44" s="129"/>
      <c r="CI44" s="130" t="s">
        <v>93</v>
      </c>
      <c r="CJ44" s="25"/>
      <c r="CK44" s="25"/>
      <c r="CL44" s="25"/>
      <c r="CM44" s="25"/>
      <c r="CN44" s="25"/>
      <c r="CO44" s="25"/>
      <c r="CP44" s="25"/>
      <c r="CQ44" s="25"/>
      <c r="CR44" s="25"/>
      <c r="CS44" s="25"/>
      <c r="CT44" s="25"/>
      <c r="CU44" s="25"/>
      <c r="CV44" s="25"/>
      <c r="CW44" s="25"/>
      <c r="CX44" s="25"/>
      <c r="CY44" s="25"/>
      <c r="CZ44" s="25"/>
      <c r="DA44" s="25"/>
      <c r="DB44" s="25"/>
      <c r="DC44" s="25"/>
      <c r="DD44" s="25"/>
      <c r="DE44" s="25"/>
      <c r="DF44" s="25"/>
      <c r="DG44" s="25"/>
      <c r="DH44" s="25"/>
      <c r="DI44" s="26"/>
      <c r="DJ44" s="131"/>
      <c r="DK44" s="1"/>
    </row>
    <row r="45" ht="12.75" customHeight="1">
      <c r="A45" s="1"/>
      <c r="B45" s="51"/>
      <c r="C45" s="10"/>
      <c r="Y45" s="132"/>
      <c r="Z45" s="133"/>
      <c r="AA45" s="65"/>
      <c r="AB45" s="10"/>
      <c r="CF45" s="132"/>
      <c r="CG45" s="134"/>
      <c r="CH45" s="135" t="s">
        <v>94</v>
      </c>
      <c r="CI45" s="22"/>
      <c r="CJ45" s="22"/>
      <c r="CK45" s="22"/>
      <c r="CL45" s="22"/>
      <c r="CM45" s="22"/>
      <c r="CN45" s="22"/>
      <c r="CO45" s="22"/>
      <c r="CP45" s="22"/>
      <c r="CQ45" s="22"/>
      <c r="CR45" s="22"/>
      <c r="CS45" s="22"/>
      <c r="CT45" s="22"/>
      <c r="CU45" s="22"/>
      <c r="CV45" s="22"/>
      <c r="CW45" s="22"/>
      <c r="CX45" s="22"/>
      <c r="CY45" s="22"/>
      <c r="CZ45" s="22"/>
      <c r="DA45" s="22"/>
      <c r="DB45" s="22"/>
      <c r="DC45" s="22"/>
      <c r="DD45" s="22"/>
      <c r="DE45" s="22"/>
      <c r="DF45" s="22"/>
      <c r="DG45" s="22"/>
      <c r="DH45" s="22"/>
      <c r="DI45" s="22"/>
      <c r="DJ45" s="136"/>
      <c r="DK45" s="1"/>
    </row>
    <row r="46" ht="12.75" customHeight="1">
      <c r="A46" s="1"/>
      <c r="B46" s="51"/>
      <c r="C46" s="10"/>
      <c r="Y46" s="132"/>
      <c r="Z46" s="133"/>
      <c r="AA46" s="65"/>
      <c r="AB46" s="10"/>
      <c r="CF46" s="132"/>
      <c r="CG46" s="137"/>
      <c r="CH46" s="135" t="s">
        <v>95</v>
      </c>
      <c r="CI46" s="22"/>
      <c r="CJ46" s="22"/>
      <c r="CK46" s="22"/>
      <c r="CL46" s="22"/>
      <c r="CM46" s="22"/>
      <c r="CN46" s="22"/>
      <c r="CO46" s="22"/>
      <c r="CP46" s="22"/>
      <c r="CQ46" s="22"/>
      <c r="CR46" s="22"/>
      <c r="CS46" s="22"/>
      <c r="CT46" s="22"/>
      <c r="CU46" s="22"/>
      <c r="CV46" s="22"/>
      <c r="CW46" s="22"/>
      <c r="CX46" s="22"/>
      <c r="CY46" s="22"/>
      <c r="CZ46" s="22"/>
      <c r="DA46" s="22"/>
      <c r="DB46" s="22"/>
      <c r="DC46" s="22"/>
      <c r="DD46" s="22"/>
      <c r="DE46" s="22"/>
      <c r="DF46" s="22"/>
      <c r="DG46" s="22"/>
      <c r="DH46" s="22"/>
      <c r="DI46" s="22"/>
      <c r="DJ46" s="136"/>
      <c r="DK46" s="1"/>
    </row>
    <row r="47" ht="12.75" customHeight="1">
      <c r="A47" s="1"/>
      <c r="B47" s="51"/>
      <c r="C47" s="10"/>
      <c r="Y47" s="132"/>
      <c r="Z47" s="133"/>
      <c r="AA47" s="65"/>
      <c r="AB47" s="10"/>
      <c r="CF47" s="132"/>
      <c r="CG47" s="138"/>
      <c r="CH47" s="135" t="s">
        <v>96</v>
      </c>
      <c r="CI47" s="22"/>
      <c r="CJ47" s="22"/>
      <c r="CK47" s="22"/>
      <c r="CL47" s="22"/>
      <c r="CM47" s="22"/>
      <c r="CN47" s="22"/>
      <c r="CO47" s="22"/>
      <c r="CP47" s="22"/>
      <c r="CQ47" s="22"/>
      <c r="CR47" s="22"/>
      <c r="CS47" s="22"/>
      <c r="CT47" s="22"/>
      <c r="CU47" s="22"/>
      <c r="CV47" s="22"/>
      <c r="CW47" s="22"/>
      <c r="CX47" s="22"/>
      <c r="CY47" s="22"/>
      <c r="CZ47" s="22"/>
      <c r="DA47" s="22"/>
      <c r="DB47" s="22"/>
      <c r="DC47" s="22"/>
      <c r="DD47" s="22"/>
      <c r="DE47" s="22"/>
      <c r="DF47" s="22"/>
      <c r="DG47" s="22"/>
      <c r="DH47" s="22"/>
      <c r="DI47" s="22"/>
      <c r="DJ47" s="136"/>
      <c r="DK47" s="1"/>
    </row>
    <row r="48" ht="12.75" customHeight="1">
      <c r="A48" s="1"/>
      <c r="B48" s="51"/>
      <c r="C48" s="10"/>
      <c r="Y48" s="132"/>
      <c r="Z48" s="133"/>
      <c r="AA48" s="65"/>
      <c r="AB48" s="10"/>
      <c r="CF48" s="132"/>
      <c r="CG48" s="133"/>
      <c r="CH48" s="135"/>
      <c r="CI48" s="22"/>
      <c r="CJ48" s="22"/>
      <c r="CK48" s="22"/>
      <c r="CL48" s="22"/>
      <c r="CM48" s="22"/>
      <c r="CN48" s="22"/>
      <c r="CO48" s="22"/>
      <c r="CP48" s="22"/>
      <c r="CQ48" s="22"/>
      <c r="CR48" s="22"/>
      <c r="CS48" s="22"/>
      <c r="CT48" s="22"/>
      <c r="CU48" s="22"/>
      <c r="CV48" s="22"/>
      <c r="CW48" s="22"/>
      <c r="CX48" s="22"/>
      <c r="CY48" s="22"/>
      <c r="CZ48" s="22"/>
      <c r="DA48" s="22"/>
      <c r="DB48" s="22"/>
      <c r="DC48" s="22"/>
      <c r="DD48" s="22"/>
      <c r="DE48" s="22"/>
      <c r="DF48" s="22"/>
      <c r="DG48" s="22"/>
      <c r="DH48" s="22"/>
      <c r="DI48" s="22"/>
      <c r="DJ48" s="136"/>
      <c r="DK48" s="1"/>
    </row>
    <row r="49" ht="12.75" customHeight="1">
      <c r="A49" s="1"/>
      <c r="B49" s="51"/>
      <c r="C49" s="141"/>
      <c r="D49" s="142"/>
      <c r="E49" s="142"/>
      <c r="F49" s="142"/>
      <c r="G49" s="142"/>
      <c r="H49" s="142"/>
      <c r="I49" s="142"/>
      <c r="J49" s="142"/>
      <c r="K49" s="142"/>
      <c r="L49" s="142"/>
      <c r="M49" s="142"/>
      <c r="N49" s="142"/>
      <c r="O49" s="142"/>
      <c r="P49" s="142"/>
      <c r="Q49" s="142"/>
      <c r="R49" s="142"/>
      <c r="S49" s="142"/>
      <c r="T49" s="142"/>
      <c r="U49" s="142"/>
      <c r="V49" s="142"/>
      <c r="W49" s="142"/>
      <c r="X49" s="142"/>
      <c r="Y49" s="144"/>
      <c r="Z49" s="133"/>
      <c r="AA49" s="65"/>
      <c r="AB49" s="141"/>
      <c r="AC49" s="142"/>
      <c r="AD49" s="142"/>
      <c r="AE49" s="142"/>
      <c r="AF49" s="142"/>
      <c r="AG49" s="142"/>
      <c r="AH49" s="142"/>
      <c r="AI49" s="142"/>
      <c r="AJ49" s="142"/>
      <c r="AK49" s="142"/>
      <c r="AL49" s="142"/>
      <c r="AM49" s="142"/>
      <c r="AN49" s="142"/>
      <c r="AO49" s="142"/>
      <c r="AP49" s="142"/>
      <c r="AQ49" s="142"/>
      <c r="AR49" s="142"/>
      <c r="AS49" s="142"/>
      <c r="AT49" s="142"/>
      <c r="AU49" s="142"/>
      <c r="AV49" s="142"/>
      <c r="AW49" s="142"/>
      <c r="AX49" s="142"/>
      <c r="AY49" s="142"/>
      <c r="AZ49" s="142"/>
      <c r="BA49" s="142"/>
      <c r="BB49" s="142"/>
      <c r="BC49" s="142"/>
      <c r="BD49" s="142"/>
      <c r="BE49" s="142"/>
      <c r="BF49" s="142"/>
      <c r="BG49" s="142"/>
      <c r="BH49" s="142"/>
      <c r="BI49" s="142"/>
      <c r="BJ49" s="142"/>
      <c r="BK49" s="142"/>
      <c r="BL49" s="142"/>
      <c r="BM49" s="142"/>
      <c r="BN49" s="142"/>
      <c r="BO49" s="142"/>
      <c r="BP49" s="142"/>
      <c r="BQ49" s="142"/>
      <c r="BR49" s="142"/>
      <c r="BS49" s="142"/>
      <c r="BT49" s="142"/>
      <c r="BU49" s="142"/>
      <c r="BV49" s="142"/>
      <c r="BW49" s="142"/>
      <c r="BX49" s="142"/>
      <c r="BY49" s="142"/>
      <c r="BZ49" s="142"/>
      <c r="CA49" s="142"/>
      <c r="CB49" s="142"/>
      <c r="CC49" s="142"/>
      <c r="CD49" s="142"/>
      <c r="CE49" s="142"/>
      <c r="CF49" s="144"/>
      <c r="CG49" s="133"/>
      <c r="CH49" s="135"/>
      <c r="CI49" s="22"/>
      <c r="CJ49" s="22"/>
      <c r="CK49" s="22"/>
      <c r="CL49" s="22"/>
      <c r="CM49" s="22"/>
      <c r="CN49" s="22"/>
      <c r="CO49" s="22"/>
      <c r="CP49" s="22"/>
      <c r="CQ49" s="22"/>
      <c r="CR49" s="22"/>
      <c r="CS49" s="22"/>
      <c r="CT49" s="22"/>
      <c r="CU49" s="22"/>
      <c r="CV49" s="22"/>
      <c r="CW49" s="22"/>
      <c r="CX49" s="22"/>
      <c r="CY49" s="22"/>
      <c r="CZ49" s="22"/>
      <c r="DA49" s="22"/>
      <c r="DB49" s="22"/>
      <c r="DC49" s="22"/>
      <c r="DD49" s="22"/>
      <c r="DE49" s="22"/>
      <c r="DF49" s="22"/>
      <c r="DG49" s="22"/>
      <c r="DH49" s="22"/>
      <c r="DI49" s="22"/>
      <c r="DJ49" s="136"/>
      <c r="DK49" s="1"/>
    </row>
    <row r="50" ht="12.75" customHeight="1">
      <c r="A50" s="1"/>
      <c r="B50" s="51"/>
      <c r="C50" s="93"/>
      <c r="D50" s="93"/>
      <c r="E50" s="56" t="s">
        <v>18</v>
      </c>
      <c r="F50" s="57"/>
      <c r="G50" s="65"/>
      <c r="H50" s="148" t="s">
        <v>101</v>
      </c>
      <c r="I50" s="53"/>
      <c r="J50" s="53"/>
      <c r="K50" s="53"/>
      <c r="L50" s="53"/>
      <c r="M50" s="53"/>
      <c r="N50" s="149"/>
      <c r="O50" s="56"/>
      <c r="P50" s="57"/>
      <c r="Q50" s="65"/>
      <c r="R50" s="52" t="s">
        <v>103</v>
      </c>
      <c r="S50" s="53"/>
      <c r="T50" s="53"/>
      <c r="U50" s="53"/>
      <c r="V50" s="53"/>
      <c r="W50" s="53"/>
      <c r="X50" s="53"/>
      <c r="Y50" s="53"/>
      <c r="Z50" s="149"/>
      <c r="AA50" s="65"/>
      <c r="AB50" s="120" t="s">
        <v>104</v>
      </c>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4"/>
      <c r="BF50" s="93"/>
      <c r="BG50" s="93"/>
      <c r="BH50" s="56" t="s">
        <v>18</v>
      </c>
      <c r="BI50" s="57"/>
      <c r="BJ50" s="65"/>
      <c r="BK50" s="148" t="s">
        <v>101</v>
      </c>
      <c r="BL50" s="53"/>
      <c r="BM50" s="53"/>
      <c r="BN50" s="53"/>
      <c r="BO50" s="53"/>
      <c r="BP50" s="53"/>
      <c r="BQ50" s="54"/>
      <c r="BR50" s="56"/>
      <c r="BS50" s="57"/>
      <c r="BT50" s="65"/>
      <c r="BU50" s="52" t="s">
        <v>103</v>
      </c>
      <c r="BV50" s="53"/>
      <c r="BW50" s="53"/>
      <c r="BX50" s="53"/>
      <c r="BY50" s="53"/>
      <c r="BZ50" s="53"/>
      <c r="CA50" s="53"/>
      <c r="CB50" s="53"/>
      <c r="CC50" s="54"/>
      <c r="CD50" s="65"/>
      <c r="CE50" s="65"/>
      <c r="CF50" s="65"/>
      <c r="CG50" s="133"/>
      <c r="CH50" s="135"/>
      <c r="CI50" s="22"/>
      <c r="CJ50" s="22"/>
      <c r="CK50" s="22"/>
      <c r="CL50" s="22"/>
      <c r="CM50" s="22"/>
      <c r="CN50" s="22"/>
      <c r="CO50" s="22"/>
      <c r="CP50" s="22"/>
      <c r="CQ50" s="22"/>
      <c r="CR50" s="22"/>
      <c r="CS50" s="22"/>
      <c r="CT50" s="22"/>
      <c r="CU50" s="22"/>
      <c r="CV50" s="22"/>
      <c r="CW50" s="22"/>
      <c r="CX50" s="22"/>
      <c r="CY50" s="22"/>
      <c r="CZ50" s="22"/>
      <c r="DA50" s="22"/>
      <c r="DB50" s="22"/>
      <c r="DC50" s="22"/>
      <c r="DD50" s="22"/>
      <c r="DE50" s="22"/>
      <c r="DF50" s="22"/>
      <c r="DG50" s="22"/>
      <c r="DH50" s="22"/>
      <c r="DI50" s="22"/>
      <c r="DJ50" s="136"/>
      <c r="DK50" s="1"/>
    </row>
    <row r="51" ht="12.75" customHeight="1">
      <c r="A51" s="1"/>
      <c r="B51" s="105"/>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55"/>
      <c r="AA51" s="109"/>
      <c r="AB51" s="109"/>
      <c r="AC51" s="109"/>
      <c r="AD51" s="109"/>
      <c r="AE51" s="109"/>
      <c r="AF51" s="109"/>
      <c r="AG51" s="109"/>
      <c r="AH51" s="109"/>
      <c r="AI51" s="109"/>
      <c r="AJ51" s="109"/>
      <c r="AK51" s="109"/>
      <c r="AL51" s="109"/>
      <c r="AM51" s="109"/>
      <c r="AN51" s="109"/>
      <c r="AO51" s="109"/>
      <c r="AP51" s="109"/>
      <c r="AQ51" s="109"/>
      <c r="AR51" s="109"/>
      <c r="AS51" s="109"/>
      <c r="AT51" s="109"/>
      <c r="AU51" s="109"/>
      <c r="AV51" s="109"/>
      <c r="AW51" s="109"/>
      <c r="AX51" s="109"/>
      <c r="AY51" s="109"/>
      <c r="AZ51" s="109"/>
      <c r="BA51" s="109"/>
      <c r="BB51" s="109"/>
      <c r="BC51" s="109"/>
      <c r="BD51" s="109"/>
      <c r="BE51" s="109"/>
      <c r="BF51" s="109"/>
      <c r="BG51" s="109"/>
      <c r="BH51" s="109"/>
      <c r="BI51" s="109"/>
      <c r="BJ51" s="109"/>
      <c r="BK51" s="109"/>
      <c r="BL51" s="109"/>
      <c r="BM51" s="109"/>
      <c r="BN51" s="109"/>
      <c r="BO51" s="109"/>
      <c r="BP51" s="109"/>
      <c r="BQ51" s="109"/>
      <c r="BR51" s="109"/>
      <c r="BS51" s="109"/>
      <c r="BT51" s="109"/>
      <c r="BU51" s="109"/>
      <c r="BV51" s="109"/>
      <c r="BW51" s="109"/>
      <c r="BX51" s="109"/>
      <c r="BY51" s="109"/>
      <c r="BZ51" s="109"/>
      <c r="CA51" s="109"/>
      <c r="CB51" s="109"/>
      <c r="CC51" s="109"/>
      <c r="CD51" s="109"/>
      <c r="CE51" s="109"/>
      <c r="CF51" s="109"/>
      <c r="CG51" s="155"/>
      <c r="CH51" s="135"/>
      <c r="CI51" s="22"/>
      <c r="CJ51" s="22"/>
      <c r="CK51" s="22"/>
      <c r="CL51" s="22"/>
      <c r="CM51" s="22"/>
      <c r="CN51" s="22"/>
      <c r="CO51" s="22"/>
      <c r="CP51" s="22"/>
      <c r="CQ51" s="22"/>
      <c r="CR51" s="22"/>
      <c r="CS51" s="22"/>
      <c r="CT51" s="22"/>
      <c r="CU51" s="22"/>
      <c r="CV51" s="22"/>
      <c r="CW51" s="22"/>
      <c r="CX51" s="22"/>
      <c r="CY51" s="22"/>
      <c r="CZ51" s="22"/>
      <c r="DA51" s="22"/>
      <c r="DB51" s="22"/>
      <c r="DC51" s="22"/>
      <c r="DD51" s="22"/>
      <c r="DE51" s="22"/>
      <c r="DF51" s="22"/>
      <c r="DG51" s="22"/>
      <c r="DH51" s="22"/>
      <c r="DI51" s="22"/>
      <c r="DJ51" s="136"/>
      <c r="DK51" s="1"/>
    </row>
    <row r="52" ht="12.75" customHeight="1">
      <c r="A52" s="1"/>
      <c r="B52" s="157"/>
      <c r="C52" s="160" t="s">
        <v>97</v>
      </c>
      <c r="D52" s="140"/>
      <c r="E52" s="140"/>
      <c r="F52" s="140"/>
      <c r="G52" s="140"/>
      <c r="H52" s="140"/>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140"/>
      <c r="AH52" s="140"/>
      <c r="AI52" s="140"/>
      <c r="AJ52" s="140"/>
      <c r="AK52" s="140"/>
      <c r="AL52" s="140"/>
      <c r="AM52" s="140"/>
      <c r="AN52" s="140"/>
      <c r="AO52" s="140"/>
      <c r="AP52" s="143"/>
      <c r="AQ52" s="160" t="s">
        <v>98</v>
      </c>
      <c r="AR52" s="140"/>
      <c r="AS52" s="140"/>
      <c r="AT52" s="140"/>
      <c r="AU52" s="140"/>
      <c r="AV52" s="140"/>
      <c r="AW52" s="140"/>
      <c r="AX52" s="140"/>
      <c r="AY52" s="140"/>
      <c r="AZ52" s="140"/>
      <c r="BA52" s="140"/>
      <c r="BB52" s="140"/>
      <c r="BC52" s="140"/>
      <c r="BD52" s="140"/>
      <c r="BE52" s="140"/>
      <c r="BF52" s="140"/>
      <c r="BG52" s="140"/>
      <c r="BH52" s="140"/>
      <c r="BI52" s="140"/>
      <c r="BJ52" s="140"/>
      <c r="BK52" s="140"/>
      <c r="BL52" s="140"/>
      <c r="BM52" s="140"/>
      <c r="BN52" s="140"/>
      <c r="BO52" s="140"/>
      <c r="BP52" s="140"/>
      <c r="BQ52" s="140"/>
      <c r="BR52" s="140"/>
      <c r="BS52" s="140"/>
      <c r="BT52" s="140"/>
      <c r="BU52" s="140"/>
      <c r="BV52" s="140"/>
      <c r="BW52" s="140"/>
      <c r="BX52" s="140"/>
      <c r="BY52" s="140"/>
      <c r="BZ52" s="140"/>
      <c r="CA52" s="140"/>
      <c r="CB52" s="140"/>
      <c r="CC52" s="140"/>
      <c r="CD52" s="143"/>
      <c r="CE52" s="161" t="s">
        <v>99</v>
      </c>
      <c r="CF52" s="140"/>
      <c r="CG52" s="140"/>
      <c r="CH52" s="140"/>
      <c r="CI52" s="140"/>
      <c r="CJ52" s="140"/>
      <c r="CK52" s="140"/>
      <c r="CL52" s="140"/>
      <c r="CM52" s="140"/>
      <c r="CN52" s="140"/>
      <c r="CO52" s="140"/>
      <c r="CP52" s="140"/>
      <c r="CQ52" s="140"/>
      <c r="CR52" s="140"/>
      <c r="CS52" s="140"/>
      <c r="CT52" s="143"/>
      <c r="CU52" s="161" t="s">
        <v>100</v>
      </c>
      <c r="CV52" s="140"/>
      <c r="CW52" s="140"/>
      <c r="CX52" s="140"/>
      <c r="CY52" s="140"/>
      <c r="CZ52" s="140"/>
      <c r="DA52" s="140"/>
      <c r="DB52" s="140"/>
      <c r="DC52" s="140"/>
      <c r="DD52" s="140"/>
      <c r="DE52" s="140"/>
      <c r="DF52" s="140"/>
      <c r="DG52" s="140"/>
      <c r="DH52" s="140"/>
      <c r="DI52" s="140"/>
      <c r="DJ52" s="147"/>
      <c r="DK52" s="1"/>
    </row>
    <row r="53" ht="14.25" customHeight="1">
      <c r="A53" s="1"/>
      <c r="B53" s="150" t="s">
        <v>102</v>
      </c>
      <c r="C53" s="95"/>
      <c r="D53" s="95"/>
      <c r="E53" s="95"/>
      <c r="F53" s="95"/>
      <c r="G53" s="95"/>
      <c r="H53" s="95"/>
      <c r="I53" s="95"/>
      <c r="J53" s="95"/>
      <c r="K53" s="95"/>
      <c r="L53" s="95"/>
      <c r="M53" s="95"/>
      <c r="N53" s="95"/>
      <c r="O53" s="95"/>
      <c r="P53" s="95"/>
      <c r="Q53" s="95"/>
      <c r="R53" s="95"/>
      <c r="S53" s="95"/>
      <c r="T53" s="95"/>
      <c r="U53" s="95"/>
      <c r="V53" s="95"/>
      <c r="W53" s="95"/>
      <c r="X53" s="95"/>
      <c r="Y53" s="95"/>
      <c r="Z53" s="95"/>
      <c r="AA53" s="95"/>
      <c r="AB53" s="95"/>
      <c r="AC53" s="95"/>
      <c r="AD53" s="95"/>
      <c r="AE53" s="95"/>
      <c r="AF53" s="95"/>
      <c r="AG53" s="95"/>
      <c r="AH53" s="95"/>
      <c r="AI53" s="95"/>
      <c r="AJ53" s="95"/>
      <c r="AK53" s="95"/>
      <c r="AL53" s="95"/>
      <c r="AM53" s="95"/>
      <c r="AN53" s="95"/>
      <c r="AO53" s="95"/>
      <c r="AP53" s="151"/>
      <c r="AQ53" s="152"/>
      <c r="AR53" s="95"/>
      <c r="AS53" s="95"/>
      <c r="AT53" s="95"/>
      <c r="AU53" s="95"/>
      <c r="AV53" s="95"/>
      <c r="AW53" s="95"/>
      <c r="AX53" s="95"/>
      <c r="AY53" s="95"/>
      <c r="AZ53" s="95"/>
      <c r="BA53" s="95"/>
      <c r="BB53" s="95"/>
      <c r="BC53" s="95"/>
      <c r="BD53" s="95"/>
      <c r="BE53" s="95"/>
      <c r="BF53" s="95"/>
      <c r="BG53" s="95"/>
      <c r="BH53" s="95"/>
      <c r="BI53" s="95"/>
      <c r="BJ53" s="95"/>
      <c r="BK53" s="95"/>
      <c r="BL53" s="95"/>
      <c r="BM53" s="95"/>
      <c r="BN53" s="95"/>
      <c r="BO53" s="95"/>
      <c r="BP53" s="95"/>
      <c r="BQ53" s="95"/>
      <c r="BR53" s="95"/>
      <c r="BS53" s="95"/>
      <c r="BT53" s="95"/>
      <c r="BU53" s="95"/>
      <c r="BV53" s="95"/>
      <c r="BW53" s="95"/>
      <c r="BX53" s="95"/>
      <c r="BY53" s="95"/>
      <c r="BZ53" s="95"/>
      <c r="CA53" s="95"/>
      <c r="CB53" s="95"/>
      <c r="CC53" s="95"/>
      <c r="CD53" s="151"/>
      <c r="CE53" s="152" t="s">
        <v>105</v>
      </c>
      <c r="CF53" s="95"/>
      <c r="CG53" s="95"/>
      <c r="CH53" s="95"/>
      <c r="CI53" s="95"/>
      <c r="CJ53" s="95"/>
      <c r="CK53" s="95"/>
      <c r="CL53" s="95"/>
      <c r="CM53" s="95"/>
      <c r="CN53" s="95"/>
      <c r="CO53" s="95"/>
      <c r="CP53" s="95"/>
      <c r="CQ53" s="95"/>
      <c r="CR53" s="95"/>
      <c r="CS53" s="95"/>
      <c r="CT53" s="151"/>
      <c r="CU53" s="162" t="s">
        <v>106</v>
      </c>
      <c r="CV53" s="95"/>
      <c r="CW53" s="95"/>
      <c r="CX53" s="95"/>
      <c r="CY53" s="95"/>
      <c r="CZ53" s="95"/>
      <c r="DA53" s="95"/>
      <c r="DB53" s="95"/>
      <c r="DC53" s="95"/>
      <c r="DD53" s="95"/>
      <c r="DE53" s="95"/>
      <c r="DF53" s="95"/>
      <c r="DG53" s="95"/>
      <c r="DH53" s="95"/>
      <c r="DI53" s="95"/>
      <c r="DJ53" s="97"/>
      <c r="DK53" s="1"/>
    </row>
    <row r="54" ht="12.75" customHeight="1">
      <c r="A54" s="1"/>
      <c r="B54" s="154"/>
      <c r="C54" s="156"/>
      <c r="D54" s="107"/>
      <c r="E54" s="107"/>
      <c r="F54" s="107"/>
      <c r="G54" s="107"/>
      <c r="H54" s="107"/>
      <c r="I54" s="107"/>
      <c r="J54" s="107"/>
      <c r="K54" s="107"/>
      <c r="L54" s="107"/>
      <c r="M54" s="107"/>
      <c r="N54" s="107"/>
      <c r="O54" s="107"/>
      <c r="P54" s="107"/>
      <c r="Q54" s="107"/>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7"/>
      <c r="BK54" s="107"/>
      <c r="BL54" s="107"/>
      <c r="BM54" s="107"/>
      <c r="BN54" s="107"/>
      <c r="BO54" s="107"/>
      <c r="BP54" s="107"/>
      <c r="BQ54" s="107"/>
      <c r="BR54" s="107"/>
      <c r="BS54" s="107"/>
      <c r="BT54" s="107"/>
      <c r="BU54" s="107"/>
      <c r="BV54" s="107"/>
      <c r="BW54" s="107"/>
      <c r="BX54" s="107"/>
      <c r="BY54" s="107"/>
      <c r="BZ54" s="107"/>
      <c r="CA54" s="107"/>
      <c r="CB54" s="107"/>
      <c r="CC54" s="107"/>
      <c r="CD54" s="107"/>
      <c r="CE54" s="107"/>
      <c r="CF54" s="107"/>
      <c r="CG54" s="107"/>
      <c r="CH54" s="107"/>
      <c r="CI54" s="107"/>
      <c r="CJ54" s="107"/>
      <c r="CK54" s="107"/>
      <c r="CL54" s="107"/>
      <c r="CM54" s="107"/>
      <c r="CN54" s="107"/>
      <c r="CO54" s="107"/>
      <c r="CP54" s="107"/>
      <c r="CQ54" s="107"/>
      <c r="CR54" s="107"/>
      <c r="CS54" s="107"/>
      <c r="CT54" s="107"/>
      <c r="CU54" s="107"/>
      <c r="CV54" s="107"/>
      <c r="CW54" s="107"/>
      <c r="CX54" s="108"/>
      <c r="CY54" s="158" t="s">
        <v>108</v>
      </c>
      <c r="CZ54" s="107"/>
      <c r="DA54" s="107"/>
      <c r="DB54" s="107"/>
      <c r="DC54" s="107"/>
      <c r="DD54" s="107"/>
      <c r="DE54" s="107"/>
      <c r="DF54" s="107"/>
      <c r="DG54" s="107"/>
      <c r="DH54" s="107"/>
      <c r="DI54" s="107"/>
      <c r="DJ54" s="159"/>
      <c r="DK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row>
  </sheetData>
  <mergeCells count="285">
    <mergeCell ref="X37:AD37"/>
    <mergeCell ref="AE37:AK37"/>
    <mergeCell ref="X38:AD38"/>
    <mergeCell ref="AE38:AK38"/>
    <mergeCell ref="AL38:AR38"/>
    <mergeCell ref="X39:AD39"/>
    <mergeCell ref="AE39:AK39"/>
    <mergeCell ref="AL39:AR39"/>
    <mergeCell ref="J37:P37"/>
    <mergeCell ref="Q37:W37"/>
    <mergeCell ref="D38:I38"/>
    <mergeCell ref="J38:P38"/>
    <mergeCell ref="Q38:W38"/>
    <mergeCell ref="J39:P39"/>
    <mergeCell ref="Q39:W39"/>
    <mergeCell ref="J20:K20"/>
    <mergeCell ref="L20:R20"/>
    <mergeCell ref="J22:S22"/>
    <mergeCell ref="C24:M24"/>
    <mergeCell ref="N24:R24"/>
    <mergeCell ref="C25:M25"/>
    <mergeCell ref="N25:R25"/>
    <mergeCell ref="Y30:AC30"/>
    <mergeCell ref="Y31:AC31"/>
    <mergeCell ref="J27:S27"/>
    <mergeCell ref="C29:T29"/>
    <mergeCell ref="Y29:AC29"/>
    <mergeCell ref="C30:T30"/>
    <mergeCell ref="W30:X30"/>
    <mergeCell ref="AF30:AG30"/>
    <mergeCell ref="C31:T31"/>
    <mergeCell ref="D35:I36"/>
    <mergeCell ref="J35:P36"/>
    <mergeCell ref="Q35:W36"/>
    <mergeCell ref="X35:AD36"/>
    <mergeCell ref="AE35:AK36"/>
    <mergeCell ref="AL35:AR36"/>
    <mergeCell ref="D37:I37"/>
    <mergeCell ref="AL37:AR37"/>
    <mergeCell ref="D39:I39"/>
    <mergeCell ref="D40:I40"/>
    <mergeCell ref="J40:P40"/>
    <mergeCell ref="Q40:W40"/>
    <mergeCell ref="X40:AD40"/>
    <mergeCell ref="AE40:AK40"/>
    <mergeCell ref="AL40:AR40"/>
    <mergeCell ref="D41:I41"/>
    <mergeCell ref="J41:P41"/>
    <mergeCell ref="Q41:W41"/>
    <mergeCell ref="X41:AD41"/>
    <mergeCell ref="AE41:AK41"/>
    <mergeCell ref="AL41:AR41"/>
    <mergeCell ref="C44:Y49"/>
    <mergeCell ref="E50:F50"/>
    <mergeCell ref="H50:N50"/>
    <mergeCell ref="O50:P50"/>
    <mergeCell ref="R50:Z50"/>
    <mergeCell ref="C52:AP52"/>
    <mergeCell ref="B53:AP53"/>
    <mergeCell ref="B2:W5"/>
    <mergeCell ref="X2:DJ5"/>
    <mergeCell ref="B6:DJ6"/>
    <mergeCell ref="C7:Q7"/>
    <mergeCell ref="R7:BL7"/>
    <mergeCell ref="BS7:CB7"/>
    <mergeCell ref="CC7:DK7"/>
    <mergeCell ref="AM10:BF10"/>
    <mergeCell ref="BN10:CG10"/>
    <mergeCell ref="C8:Q8"/>
    <mergeCell ref="R8:BD8"/>
    <mergeCell ref="BE8:BJ8"/>
    <mergeCell ref="CC8:DK8"/>
    <mergeCell ref="B9:DJ9"/>
    <mergeCell ref="C10:H10"/>
    <mergeCell ref="L10:R10"/>
    <mergeCell ref="AH11:AL11"/>
    <mergeCell ref="AM11:BF11"/>
    <mergeCell ref="BN11:CG11"/>
    <mergeCell ref="CM11:CN11"/>
    <mergeCell ref="CX11:CY11"/>
    <mergeCell ref="V10:Z10"/>
    <mergeCell ref="AH10:AL10"/>
    <mergeCell ref="C11:H11"/>
    <mergeCell ref="J11:K11"/>
    <mergeCell ref="L11:R11"/>
    <mergeCell ref="T11:U11"/>
    <mergeCell ref="V11:Z11"/>
    <mergeCell ref="AK15:AM15"/>
    <mergeCell ref="AP15:AU15"/>
    <mergeCell ref="BA15:BQ15"/>
    <mergeCell ref="BR15:BW15"/>
    <mergeCell ref="BX15:BZ15"/>
    <mergeCell ref="CC15:CT15"/>
    <mergeCell ref="CU15:CZ15"/>
    <mergeCell ref="DA15:DC15"/>
    <mergeCell ref="CA17:CP17"/>
    <mergeCell ref="CS17:CX17"/>
    <mergeCell ref="CY17:DD17"/>
    <mergeCell ref="AH20:AL20"/>
    <mergeCell ref="AM20:BF20"/>
    <mergeCell ref="T20:U20"/>
    <mergeCell ref="V20:AA20"/>
    <mergeCell ref="T22:AL22"/>
    <mergeCell ref="AO22:AT22"/>
    <mergeCell ref="AU22:AW22"/>
    <mergeCell ref="AZ22:BE22"/>
    <mergeCell ref="BF22:BH22"/>
    <mergeCell ref="BP25:BT25"/>
    <mergeCell ref="BU25:CB25"/>
    <mergeCell ref="CM25:CN25"/>
    <mergeCell ref="CX25:CY25"/>
    <mergeCell ref="S24:AL24"/>
    <mergeCell ref="AT24:BM24"/>
    <mergeCell ref="BP24:BT24"/>
    <mergeCell ref="BU24:CB24"/>
    <mergeCell ref="CC24:CF24"/>
    <mergeCell ref="AT25:BM25"/>
    <mergeCell ref="CC25:CF25"/>
    <mergeCell ref="J13:S13"/>
    <mergeCell ref="T13:AL13"/>
    <mergeCell ref="AO13:BA13"/>
    <mergeCell ref="BB13:BF13"/>
    <mergeCell ref="Z15:AB15"/>
    <mergeCell ref="AE15:AJ15"/>
    <mergeCell ref="AV15:AX15"/>
    <mergeCell ref="T15:Y15"/>
    <mergeCell ref="J17:V17"/>
    <mergeCell ref="W17:AA17"/>
    <mergeCell ref="AB17:AQ17"/>
    <mergeCell ref="AS17:AX17"/>
    <mergeCell ref="AY17:BN17"/>
    <mergeCell ref="BQ17:BZ17"/>
    <mergeCell ref="BN20:CG20"/>
    <mergeCell ref="CM20:CN20"/>
    <mergeCell ref="CX20:CY20"/>
    <mergeCell ref="C19:H19"/>
    <mergeCell ref="L19:R19"/>
    <mergeCell ref="V19:AA19"/>
    <mergeCell ref="AH19:AL19"/>
    <mergeCell ref="AM19:BF19"/>
    <mergeCell ref="BN19:CG19"/>
    <mergeCell ref="C20:H20"/>
    <mergeCell ref="BJ22:BU22"/>
    <mergeCell ref="BV22:CA22"/>
    <mergeCell ref="CB22:CE22"/>
    <mergeCell ref="CH22:CM22"/>
    <mergeCell ref="CN22:CQ22"/>
    <mergeCell ref="CS22:DC22"/>
    <mergeCell ref="DD22:DH22"/>
    <mergeCell ref="B23:DJ23"/>
    <mergeCell ref="BT27:CE27"/>
    <mergeCell ref="CF27:CK27"/>
    <mergeCell ref="CL27:CN27"/>
    <mergeCell ref="CP27:CY27"/>
    <mergeCell ref="CZ27:DE27"/>
    <mergeCell ref="DF27:DH27"/>
    <mergeCell ref="B28:DJ28"/>
    <mergeCell ref="S25:AL25"/>
    <mergeCell ref="T27:AJ27"/>
    <mergeCell ref="AM27:AX27"/>
    <mergeCell ref="AZ27:BA27"/>
    <mergeCell ref="BB27:BF27"/>
    <mergeCell ref="BI27:BJ27"/>
    <mergeCell ref="BK27:BQ27"/>
    <mergeCell ref="AO29:AY29"/>
    <mergeCell ref="AZ29:BE29"/>
    <mergeCell ref="BF29:BH29"/>
    <mergeCell ref="BK29:BP29"/>
    <mergeCell ref="BQ29:BS29"/>
    <mergeCell ref="BV29:CB29"/>
    <mergeCell ref="CC29:CR29"/>
    <mergeCell ref="AO30:AY30"/>
    <mergeCell ref="AZ30:BE30"/>
    <mergeCell ref="BF30:BH30"/>
    <mergeCell ref="BK30:BP30"/>
    <mergeCell ref="BQ30:BS30"/>
    <mergeCell ref="BV30:CB30"/>
    <mergeCell ref="CC30:CR30"/>
    <mergeCell ref="B32:DJ32"/>
    <mergeCell ref="B33:DJ33"/>
    <mergeCell ref="AO31:AY31"/>
    <mergeCell ref="AZ31:BE31"/>
    <mergeCell ref="BF31:BH31"/>
    <mergeCell ref="BK31:BP31"/>
    <mergeCell ref="BQ31:BS31"/>
    <mergeCell ref="BV31:CB31"/>
    <mergeCell ref="CC31:CR31"/>
    <mergeCell ref="CE36:CI36"/>
    <mergeCell ref="CJ36:CN36"/>
    <mergeCell ref="CO36:CS36"/>
    <mergeCell ref="CT36:CX36"/>
    <mergeCell ref="CY36:DC36"/>
    <mergeCell ref="DD36:DH36"/>
    <mergeCell ref="CJ40:CN40"/>
    <mergeCell ref="CO40:CS40"/>
    <mergeCell ref="CT40:CX40"/>
    <mergeCell ref="CY40:DC40"/>
    <mergeCell ref="DD40:DH40"/>
    <mergeCell ref="AS41:AY41"/>
    <mergeCell ref="AZ41:BF41"/>
    <mergeCell ref="BG41:BL41"/>
    <mergeCell ref="BM41:BR41"/>
    <mergeCell ref="BS41:BX41"/>
    <mergeCell ref="BY41:CD41"/>
    <mergeCell ref="CE41:CI41"/>
    <mergeCell ref="B43:DJ43"/>
    <mergeCell ref="CJ41:CN41"/>
    <mergeCell ref="CO41:CS41"/>
    <mergeCell ref="CT41:CX41"/>
    <mergeCell ref="CY41:DC41"/>
    <mergeCell ref="DD41:DH41"/>
    <mergeCell ref="CI44:DI44"/>
    <mergeCell ref="CH45:DJ45"/>
    <mergeCell ref="AB44:CF49"/>
    <mergeCell ref="AB50:BE50"/>
    <mergeCell ref="BH50:BI50"/>
    <mergeCell ref="BK50:BQ50"/>
    <mergeCell ref="BR50:BS50"/>
    <mergeCell ref="BU50:CC50"/>
    <mergeCell ref="AQ52:CD52"/>
    <mergeCell ref="AQ53:CD53"/>
    <mergeCell ref="AS40:AY40"/>
    <mergeCell ref="AZ40:BF40"/>
    <mergeCell ref="BG40:BL40"/>
    <mergeCell ref="BM40:BR40"/>
    <mergeCell ref="BS40:BX40"/>
    <mergeCell ref="BY40:CD40"/>
    <mergeCell ref="CE40:CI40"/>
    <mergeCell ref="CE52:CT52"/>
    <mergeCell ref="CE53:CT53"/>
    <mergeCell ref="C54:CX54"/>
    <mergeCell ref="CU53:DJ53"/>
    <mergeCell ref="CY54:DJ54"/>
    <mergeCell ref="CH46:DJ46"/>
    <mergeCell ref="CH47:DJ47"/>
    <mergeCell ref="CH48:DJ48"/>
    <mergeCell ref="CH49:DJ49"/>
    <mergeCell ref="CH50:DJ50"/>
    <mergeCell ref="CH51:DJ51"/>
    <mergeCell ref="CU52:DJ52"/>
    <mergeCell ref="AS35:CD35"/>
    <mergeCell ref="CE35:CS35"/>
    <mergeCell ref="CT35:DH35"/>
    <mergeCell ref="AS36:AY36"/>
    <mergeCell ref="AZ36:BF36"/>
    <mergeCell ref="BG36:BL36"/>
    <mergeCell ref="BM36:BR36"/>
    <mergeCell ref="BY37:CD37"/>
    <mergeCell ref="CE37:CI37"/>
    <mergeCell ref="CJ37:CN37"/>
    <mergeCell ref="CO37:CS37"/>
    <mergeCell ref="CT37:CX37"/>
    <mergeCell ref="CY37:DC37"/>
    <mergeCell ref="DD37:DH37"/>
    <mergeCell ref="BS36:BX36"/>
    <mergeCell ref="BY36:CD36"/>
    <mergeCell ref="AS37:AY37"/>
    <mergeCell ref="AZ37:BF37"/>
    <mergeCell ref="BG37:BL37"/>
    <mergeCell ref="BM37:BR37"/>
    <mergeCell ref="BS37:BX37"/>
    <mergeCell ref="CJ38:CN38"/>
    <mergeCell ref="CO38:CS38"/>
    <mergeCell ref="CT38:CX38"/>
    <mergeCell ref="CY38:DC38"/>
    <mergeCell ref="DD38:DH38"/>
    <mergeCell ref="AS38:AY38"/>
    <mergeCell ref="AZ38:BF38"/>
    <mergeCell ref="BG38:BL38"/>
    <mergeCell ref="BM38:BR38"/>
    <mergeCell ref="BS38:BX38"/>
    <mergeCell ref="BY38:CD38"/>
    <mergeCell ref="CE38:CI38"/>
    <mergeCell ref="CJ39:CN39"/>
    <mergeCell ref="CO39:CS39"/>
    <mergeCell ref="CT39:CX39"/>
    <mergeCell ref="CY39:DC39"/>
    <mergeCell ref="DD39:DH39"/>
    <mergeCell ref="AS39:AY39"/>
    <mergeCell ref="AZ39:BF39"/>
    <mergeCell ref="BG39:BL39"/>
    <mergeCell ref="BM39:BR39"/>
    <mergeCell ref="BS39:BX39"/>
    <mergeCell ref="BY39:CD39"/>
    <mergeCell ref="CE39:CI39"/>
  </mergeCells>
  <printOptions gridLines="1" horizontalCentered="1" verticalCentered="1"/>
  <pageMargins bottom="0.0" footer="0.0" header="0.0" left="0.0" right="0.0" top="0.0"/>
  <pageSetup orientation="landscape"/>
  <headerFooter>
    <oddFooter>&amp;RF-SER-034 Rev.01</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29"/>
    <col customWidth="1" min="2" max="4" width="0.86"/>
    <col customWidth="1" min="5" max="114" width="1.14"/>
    <col customWidth="1" min="115" max="116" width="0.86"/>
  </cols>
  <sheetData>
    <row r="1" ht="6.0" customHeight="1">
      <c r="A1" s="1"/>
      <c r="B1" s="2"/>
      <c r="C1" s="2"/>
      <c r="D1" s="2"/>
      <c r="E1" s="2"/>
      <c r="F1" s="2"/>
      <c r="G1" s="2"/>
      <c r="H1" s="2"/>
      <c r="I1" s="2"/>
      <c r="J1" s="2"/>
      <c r="K1" s="2"/>
      <c r="L1" s="2"/>
      <c r="M1" s="2"/>
      <c r="N1" s="2"/>
      <c r="O1" s="2"/>
      <c r="P1" s="2"/>
      <c r="Q1" s="2"/>
      <c r="R1" s="2"/>
      <c r="S1" s="2" t="s">
        <v>0</v>
      </c>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row>
    <row r="2" ht="15.0" customHeight="1">
      <c r="A2" s="1"/>
      <c r="B2" s="3" t="s">
        <v>0</v>
      </c>
      <c r="C2" s="4"/>
      <c r="D2" s="4"/>
      <c r="E2" s="4"/>
      <c r="F2" s="4"/>
      <c r="G2" s="4"/>
      <c r="H2" s="4"/>
      <c r="I2" s="4"/>
      <c r="J2" s="4"/>
      <c r="K2" s="4"/>
      <c r="L2" s="4"/>
      <c r="M2" s="4"/>
      <c r="N2" s="4"/>
      <c r="O2" s="4"/>
      <c r="P2" s="4"/>
      <c r="Q2" s="4"/>
      <c r="R2" s="4"/>
      <c r="S2" s="4"/>
      <c r="T2" s="4"/>
      <c r="U2" s="4"/>
      <c r="V2" s="4"/>
      <c r="W2" s="5"/>
      <c r="X2" s="6"/>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7"/>
    </row>
    <row r="3" ht="15.0" customHeight="1">
      <c r="A3" s="1"/>
      <c r="B3" s="8"/>
      <c r="W3" s="9"/>
      <c r="X3" s="10"/>
      <c r="DL3" s="11"/>
    </row>
    <row r="4" ht="15.0" customHeight="1">
      <c r="A4" s="1"/>
      <c r="B4" s="8"/>
      <c r="W4" s="9"/>
      <c r="X4" s="10"/>
      <c r="DL4" s="11"/>
    </row>
    <row r="5" ht="15.0" customHeight="1">
      <c r="A5" s="1"/>
      <c r="B5" s="12"/>
      <c r="C5" s="13"/>
      <c r="D5" s="13"/>
      <c r="E5" s="13"/>
      <c r="F5" s="13"/>
      <c r="G5" s="13"/>
      <c r="H5" s="13"/>
      <c r="I5" s="13"/>
      <c r="J5" s="13"/>
      <c r="K5" s="13"/>
      <c r="L5" s="13"/>
      <c r="M5" s="13"/>
      <c r="N5" s="13"/>
      <c r="O5" s="13"/>
      <c r="P5" s="13"/>
      <c r="Q5" s="13"/>
      <c r="R5" s="13"/>
      <c r="S5" s="13"/>
      <c r="T5" s="13"/>
      <c r="U5" s="13"/>
      <c r="V5" s="13"/>
      <c r="W5" s="14"/>
      <c r="X5" s="15"/>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6"/>
    </row>
    <row r="6" ht="20.25" customHeight="1">
      <c r="A6" s="1"/>
      <c r="B6" s="71" t="str">
        <f>UPPER("F-SER-034 Prueba de Desempeño de Sistema de Bombeo ")</f>
        <v>F-SER-034 PRUEBA DE DESEMPEÑO DE SISTEMA DE BOMBEO </v>
      </c>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9"/>
    </row>
    <row r="7" ht="12.75" customHeight="1">
      <c r="A7" s="1"/>
      <c r="B7" s="20"/>
      <c r="C7" s="21" t="s">
        <v>1</v>
      </c>
      <c r="D7" s="22"/>
      <c r="E7" s="22"/>
      <c r="F7" s="22"/>
      <c r="G7" s="22"/>
      <c r="H7" s="22"/>
      <c r="I7" s="22"/>
      <c r="J7" s="22"/>
      <c r="K7" s="22"/>
      <c r="L7" s="22"/>
      <c r="M7" s="22"/>
      <c r="N7" s="22"/>
      <c r="O7" s="22"/>
      <c r="P7" s="22"/>
      <c r="Q7" s="23"/>
      <c r="R7" s="24" t="s">
        <v>2</v>
      </c>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6"/>
      <c r="BM7" s="27"/>
      <c r="BN7" s="27"/>
      <c r="BO7" s="27"/>
      <c r="BP7" s="27"/>
      <c r="BQ7" s="27"/>
      <c r="BR7" s="27"/>
      <c r="BS7" s="28" t="s">
        <v>3</v>
      </c>
      <c r="BT7" s="29"/>
      <c r="BU7" s="29"/>
      <c r="BV7" s="29"/>
      <c r="BW7" s="29"/>
      <c r="BX7" s="29"/>
      <c r="BY7" s="29"/>
      <c r="BZ7" s="29"/>
      <c r="CA7" s="29"/>
      <c r="CB7" s="30"/>
      <c r="CC7" s="31" t="s">
        <v>4</v>
      </c>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30"/>
      <c r="DL7" s="75"/>
    </row>
    <row r="8" ht="12.75" customHeight="1">
      <c r="A8" s="1"/>
      <c r="B8" s="20"/>
      <c r="C8" s="33" t="s">
        <v>5</v>
      </c>
      <c r="D8" s="25"/>
      <c r="E8" s="25"/>
      <c r="F8" s="25"/>
      <c r="G8" s="25"/>
      <c r="H8" s="25"/>
      <c r="I8" s="25"/>
      <c r="J8" s="25"/>
      <c r="K8" s="25"/>
      <c r="L8" s="25"/>
      <c r="M8" s="25"/>
      <c r="N8" s="25"/>
      <c r="O8" s="25"/>
      <c r="P8" s="25"/>
      <c r="Q8" s="26"/>
      <c r="R8" s="34" t="s">
        <v>6</v>
      </c>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6"/>
      <c r="BE8" s="35" t="s">
        <v>7</v>
      </c>
      <c r="BF8" s="25"/>
      <c r="BG8" s="25"/>
      <c r="BH8" s="25"/>
      <c r="BI8" s="25"/>
      <c r="BJ8" s="26"/>
      <c r="BK8" s="34" t="s">
        <v>8</v>
      </c>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6"/>
      <c r="CW8" s="80" t="s">
        <v>32</v>
      </c>
      <c r="CX8" s="25"/>
      <c r="CY8" s="25"/>
      <c r="CZ8" s="26"/>
      <c r="DA8" s="24" t="str">
        <f>Formato!DB8</f>
        <v/>
      </c>
      <c r="DB8" s="25"/>
      <c r="DC8" s="25"/>
      <c r="DD8" s="25"/>
      <c r="DE8" s="25"/>
      <c r="DF8" s="25"/>
      <c r="DG8" s="25"/>
      <c r="DH8" s="25"/>
      <c r="DI8" s="25"/>
      <c r="DJ8" s="25"/>
      <c r="DK8" s="26"/>
      <c r="DL8" s="81"/>
    </row>
    <row r="9" ht="12.75" customHeight="1">
      <c r="A9" s="1"/>
      <c r="B9" s="51"/>
      <c r="C9" s="65"/>
      <c r="D9" s="65"/>
      <c r="E9" s="65"/>
      <c r="F9" s="65"/>
      <c r="G9" s="65"/>
      <c r="H9" s="65"/>
      <c r="I9" s="65"/>
      <c r="J9" s="65"/>
      <c r="K9" s="65"/>
      <c r="L9" s="65"/>
      <c r="M9" s="65"/>
      <c r="N9" s="65"/>
      <c r="O9" s="65"/>
      <c r="P9" s="65"/>
      <c r="Q9" s="65"/>
      <c r="R9" s="65"/>
      <c r="S9" s="65"/>
      <c r="T9" s="65"/>
      <c r="U9" s="65"/>
      <c r="V9" s="65"/>
      <c r="W9" s="65"/>
      <c r="X9" s="65"/>
      <c r="Y9" s="65"/>
      <c r="Z9" s="65"/>
      <c r="AA9" s="65"/>
      <c r="AB9" s="65"/>
      <c r="AC9" s="65"/>
      <c r="AD9" s="65"/>
      <c r="AE9" s="65"/>
      <c r="AF9" s="65"/>
      <c r="AG9" s="65"/>
      <c r="AH9" s="65"/>
      <c r="AI9" s="65"/>
      <c r="AJ9" s="65"/>
      <c r="AK9" s="65"/>
      <c r="AL9" s="65"/>
      <c r="AM9" s="65"/>
      <c r="AN9" s="65"/>
      <c r="AO9" s="65"/>
      <c r="AP9" s="65"/>
      <c r="AQ9" s="65"/>
      <c r="AR9" s="65"/>
      <c r="AS9" s="65"/>
      <c r="AT9" s="65"/>
      <c r="AU9" s="65"/>
      <c r="AV9" s="65"/>
      <c r="AW9" s="65"/>
      <c r="AX9" s="65"/>
      <c r="AY9" s="65"/>
      <c r="AZ9" s="65"/>
      <c r="BA9" s="65"/>
      <c r="BB9" s="65"/>
      <c r="BC9" s="65"/>
      <c r="BD9" s="65"/>
      <c r="BE9" s="65"/>
      <c r="BF9" s="65"/>
      <c r="BG9" s="65"/>
      <c r="BH9" s="65"/>
      <c r="BI9" s="65"/>
      <c r="BJ9" s="65"/>
      <c r="BK9" s="65"/>
      <c r="BL9" s="65"/>
      <c r="BM9" s="65"/>
      <c r="BN9" s="65"/>
      <c r="BO9" s="65"/>
      <c r="BP9" s="65"/>
      <c r="BQ9" s="65"/>
      <c r="BR9" s="65"/>
      <c r="BS9" s="65"/>
      <c r="BT9" s="65"/>
      <c r="BU9" s="65"/>
      <c r="BV9" s="65"/>
      <c r="BW9" s="65"/>
      <c r="BX9" s="65"/>
      <c r="BY9" s="65"/>
      <c r="BZ9" s="65"/>
      <c r="CA9" s="65"/>
      <c r="CB9" s="65"/>
      <c r="CC9" s="65"/>
      <c r="CD9" s="65"/>
      <c r="CE9" s="65"/>
      <c r="CF9" s="65"/>
      <c r="CG9" s="65"/>
      <c r="CH9" s="65"/>
      <c r="CI9" s="65"/>
      <c r="CJ9" s="65"/>
      <c r="CK9" s="65"/>
      <c r="CL9" s="65"/>
      <c r="CM9" s="65"/>
      <c r="CN9" s="65"/>
      <c r="CO9" s="65"/>
      <c r="CP9" s="65"/>
      <c r="CQ9" s="65"/>
      <c r="CR9" s="65"/>
      <c r="CS9" s="65"/>
      <c r="CT9" s="65"/>
      <c r="CU9" s="65"/>
      <c r="CV9" s="65"/>
      <c r="CW9" s="65"/>
      <c r="CX9" s="65"/>
      <c r="CY9" s="65"/>
      <c r="CZ9" s="65"/>
      <c r="DA9" s="65"/>
      <c r="DB9" s="65"/>
      <c r="DC9" s="65"/>
      <c r="DD9" s="65"/>
      <c r="DE9" s="65"/>
      <c r="DF9" s="65"/>
      <c r="DG9" s="65"/>
      <c r="DH9" s="65"/>
      <c r="DI9" s="65"/>
      <c r="DJ9" s="65"/>
      <c r="DK9" s="65"/>
      <c r="DL9" s="66"/>
    </row>
    <row r="10" ht="12.75" customHeight="1">
      <c r="A10" s="1"/>
      <c r="B10" s="51"/>
      <c r="C10" s="65"/>
      <c r="D10" s="83" t="s">
        <v>38</v>
      </c>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57"/>
      <c r="AT10" s="59"/>
      <c r="AU10" s="59"/>
      <c r="AV10" s="84" t="s">
        <v>41</v>
      </c>
      <c r="AW10" s="25"/>
      <c r="AX10" s="25"/>
      <c r="AY10" s="25"/>
      <c r="AZ10" s="25"/>
      <c r="BA10" s="25"/>
      <c r="BB10" s="25"/>
      <c r="BC10" s="25"/>
      <c r="BD10" s="25"/>
      <c r="BE10" s="25"/>
      <c r="BF10" s="25"/>
      <c r="BG10" s="25"/>
      <c r="BH10" s="25"/>
      <c r="BI10" s="25"/>
      <c r="BJ10" s="25"/>
      <c r="BK10" s="25"/>
      <c r="BL10" s="25"/>
      <c r="BM10" s="25"/>
      <c r="BN10" s="25"/>
      <c r="BO10" s="25"/>
      <c r="BP10" s="57"/>
      <c r="BQ10" s="85"/>
      <c r="BR10" s="55"/>
      <c r="BS10" s="86" t="s">
        <v>42</v>
      </c>
      <c r="BT10" s="25"/>
      <c r="BU10" s="25"/>
      <c r="BV10" s="25"/>
      <c r="BW10" s="25"/>
      <c r="BX10" s="25"/>
      <c r="BY10" s="25"/>
      <c r="BZ10" s="25"/>
      <c r="CA10" s="25"/>
      <c r="CB10" s="25"/>
      <c r="CC10" s="25"/>
      <c r="CD10" s="25"/>
      <c r="CE10" s="25"/>
      <c r="CF10" s="25"/>
      <c r="CG10" s="25"/>
      <c r="CH10" s="25"/>
      <c r="CI10" s="25"/>
      <c r="CJ10" s="25"/>
      <c r="CK10" s="25"/>
      <c r="CL10" s="25"/>
      <c r="CM10" s="57"/>
      <c r="CN10" s="87"/>
      <c r="CO10" s="87"/>
      <c r="CP10" s="88" t="s">
        <v>43</v>
      </c>
      <c r="CQ10" s="25"/>
      <c r="CR10" s="25"/>
      <c r="CS10" s="25"/>
      <c r="CT10" s="25"/>
      <c r="CU10" s="25"/>
      <c r="CV10" s="25"/>
      <c r="CW10" s="25"/>
      <c r="CX10" s="25"/>
      <c r="CY10" s="25"/>
      <c r="CZ10" s="25"/>
      <c r="DA10" s="25"/>
      <c r="DB10" s="25"/>
      <c r="DC10" s="25"/>
      <c r="DD10" s="25"/>
      <c r="DE10" s="25"/>
      <c r="DF10" s="25"/>
      <c r="DG10" s="25"/>
      <c r="DH10" s="25"/>
      <c r="DI10" s="25"/>
      <c r="DJ10" s="57"/>
      <c r="DK10" s="65"/>
      <c r="DL10" s="66"/>
    </row>
    <row r="11" ht="18.0" customHeight="1">
      <c r="A11" s="1"/>
      <c r="B11" s="51"/>
      <c r="C11" s="65"/>
      <c r="D11" s="89" t="s">
        <v>45</v>
      </c>
      <c r="E11" s="90"/>
      <c r="F11" s="90"/>
      <c r="G11" s="90"/>
      <c r="H11" s="90"/>
      <c r="I11" s="90"/>
      <c r="J11" s="91"/>
      <c r="K11" s="92" t="s">
        <v>48</v>
      </c>
      <c r="L11" s="90"/>
      <c r="M11" s="90"/>
      <c r="N11" s="90"/>
      <c r="O11" s="90"/>
      <c r="P11" s="90"/>
      <c r="Q11" s="91"/>
      <c r="R11" s="92" t="s">
        <v>49</v>
      </c>
      <c r="S11" s="90"/>
      <c r="T11" s="90"/>
      <c r="U11" s="90"/>
      <c r="V11" s="90"/>
      <c r="W11" s="90"/>
      <c r="X11" s="91"/>
      <c r="Y11" s="92" t="s">
        <v>51</v>
      </c>
      <c r="Z11" s="90"/>
      <c r="AA11" s="90"/>
      <c r="AB11" s="90"/>
      <c r="AC11" s="90"/>
      <c r="AD11" s="90"/>
      <c r="AE11" s="91"/>
      <c r="AF11" s="92" t="s">
        <v>52</v>
      </c>
      <c r="AG11" s="90"/>
      <c r="AH11" s="90"/>
      <c r="AI11" s="90"/>
      <c r="AJ11" s="90"/>
      <c r="AK11" s="90"/>
      <c r="AL11" s="91"/>
      <c r="AM11" s="92" t="s">
        <v>53</v>
      </c>
      <c r="AN11" s="90"/>
      <c r="AO11" s="90"/>
      <c r="AP11" s="90"/>
      <c r="AQ11" s="90"/>
      <c r="AR11" s="90"/>
      <c r="AS11" s="91"/>
      <c r="AT11" s="59"/>
      <c r="AU11" s="59"/>
      <c r="AV11" s="92" t="s">
        <v>48</v>
      </c>
      <c r="AW11" s="90"/>
      <c r="AX11" s="90"/>
      <c r="AY11" s="90"/>
      <c r="AZ11" s="90"/>
      <c r="BA11" s="90"/>
      <c r="BB11" s="91"/>
      <c r="BC11" s="92" t="s">
        <v>49</v>
      </c>
      <c r="BD11" s="90"/>
      <c r="BE11" s="90"/>
      <c r="BF11" s="90"/>
      <c r="BG11" s="90"/>
      <c r="BH11" s="90"/>
      <c r="BI11" s="91"/>
      <c r="BJ11" s="92" t="s">
        <v>53</v>
      </c>
      <c r="BK11" s="90"/>
      <c r="BL11" s="90"/>
      <c r="BM11" s="90"/>
      <c r="BN11" s="90"/>
      <c r="BO11" s="90"/>
      <c r="BP11" s="91"/>
      <c r="BQ11" s="85"/>
      <c r="BR11" s="61"/>
      <c r="BS11" s="92" t="s">
        <v>48</v>
      </c>
      <c r="BT11" s="90"/>
      <c r="BU11" s="90"/>
      <c r="BV11" s="90"/>
      <c r="BW11" s="90"/>
      <c r="BX11" s="90"/>
      <c r="BY11" s="91"/>
      <c r="BZ11" s="92" t="s">
        <v>49</v>
      </c>
      <c r="CA11" s="90"/>
      <c r="CB11" s="90"/>
      <c r="CC11" s="90"/>
      <c r="CD11" s="90"/>
      <c r="CE11" s="90"/>
      <c r="CF11" s="91"/>
      <c r="CG11" s="92" t="s">
        <v>53</v>
      </c>
      <c r="CH11" s="90"/>
      <c r="CI11" s="90"/>
      <c r="CJ11" s="90"/>
      <c r="CK11" s="90"/>
      <c r="CL11" s="90"/>
      <c r="CM11" s="91"/>
      <c r="CN11" s="93"/>
      <c r="CO11" s="93"/>
      <c r="CP11" s="92" t="s">
        <v>48</v>
      </c>
      <c r="CQ11" s="90"/>
      <c r="CR11" s="90"/>
      <c r="CS11" s="90"/>
      <c r="CT11" s="90"/>
      <c r="CU11" s="90"/>
      <c r="CV11" s="91"/>
      <c r="CW11" s="92" t="s">
        <v>49</v>
      </c>
      <c r="CX11" s="90"/>
      <c r="CY11" s="90"/>
      <c r="CZ11" s="90"/>
      <c r="DA11" s="90"/>
      <c r="DB11" s="90"/>
      <c r="DC11" s="91"/>
      <c r="DD11" s="92" t="s">
        <v>53</v>
      </c>
      <c r="DE11" s="90"/>
      <c r="DF11" s="90"/>
      <c r="DG11" s="90"/>
      <c r="DH11" s="90"/>
      <c r="DI11" s="90"/>
      <c r="DJ11" s="91"/>
      <c r="DK11" s="65"/>
      <c r="DL11" s="66"/>
    </row>
    <row r="12" ht="18.0" customHeight="1">
      <c r="A12" s="1"/>
      <c r="B12" s="51"/>
      <c r="C12" s="65"/>
      <c r="D12" s="96"/>
      <c r="E12" s="13"/>
      <c r="F12" s="13"/>
      <c r="G12" s="13"/>
      <c r="H12" s="13"/>
      <c r="I12" s="13"/>
      <c r="J12" s="14"/>
      <c r="K12" s="96"/>
      <c r="L12" s="13"/>
      <c r="M12" s="13"/>
      <c r="N12" s="13"/>
      <c r="O12" s="13"/>
      <c r="P12" s="13"/>
      <c r="Q12" s="14"/>
      <c r="R12" s="96"/>
      <c r="S12" s="13"/>
      <c r="T12" s="13"/>
      <c r="U12" s="13"/>
      <c r="V12" s="13"/>
      <c r="W12" s="13"/>
      <c r="X12" s="14"/>
      <c r="Y12" s="96"/>
      <c r="Z12" s="13"/>
      <c r="AA12" s="13"/>
      <c r="AB12" s="13"/>
      <c r="AC12" s="13"/>
      <c r="AD12" s="13"/>
      <c r="AE12" s="14"/>
      <c r="AF12" s="96"/>
      <c r="AG12" s="13"/>
      <c r="AH12" s="13"/>
      <c r="AI12" s="13"/>
      <c r="AJ12" s="13"/>
      <c r="AK12" s="13"/>
      <c r="AL12" s="14"/>
      <c r="AM12" s="96"/>
      <c r="AN12" s="13"/>
      <c r="AO12" s="13"/>
      <c r="AP12" s="13"/>
      <c r="AQ12" s="13"/>
      <c r="AR12" s="13"/>
      <c r="AS12" s="14"/>
      <c r="AT12" s="59"/>
      <c r="AU12" s="59"/>
      <c r="AV12" s="96"/>
      <c r="AW12" s="13"/>
      <c r="AX12" s="13"/>
      <c r="AY12" s="13"/>
      <c r="AZ12" s="13"/>
      <c r="BA12" s="13"/>
      <c r="BB12" s="14"/>
      <c r="BC12" s="96"/>
      <c r="BD12" s="13"/>
      <c r="BE12" s="13"/>
      <c r="BF12" s="13"/>
      <c r="BG12" s="13"/>
      <c r="BH12" s="13"/>
      <c r="BI12" s="14"/>
      <c r="BJ12" s="96"/>
      <c r="BK12" s="13"/>
      <c r="BL12" s="13"/>
      <c r="BM12" s="13"/>
      <c r="BN12" s="13"/>
      <c r="BO12" s="13"/>
      <c r="BP12" s="14"/>
      <c r="BQ12" s="85"/>
      <c r="BR12" s="61"/>
      <c r="BS12" s="96"/>
      <c r="BT12" s="13"/>
      <c r="BU12" s="13"/>
      <c r="BV12" s="13"/>
      <c r="BW12" s="13"/>
      <c r="BX12" s="13"/>
      <c r="BY12" s="14"/>
      <c r="BZ12" s="96"/>
      <c r="CA12" s="13"/>
      <c r="CB12" s="13"/>
      <c r="CC12" s="13"/>
      <c r="CD12" s="13"/>
      <c r="CE12" s="13"/>
      <c r="CF12" s="14"/>
      <c r="CG12" s="96"/>
      <c r="CH12" s="13"/>
      <c r="CI12" s="13"/>
      <c r="CJ12" s="13"/>
      <c r="CK12" s="13"/>
      <c r="CL12" s="13"/>
      <c r="CM12" s="14"/>
      <c r="CN12" s="93"/>
      <c r="CO12" s="93"/>
      <c r="CP12" s="96"/>
      <c r="CQ12" s="13"/>
      <c r="CR12" s="13"/>
      <c r="CS12" s="13"/>
      <c r="CT12" s="13"/>
      <c r="CU12" s="13"/>
      <c r="CV12" s="14"/>
      <c r="CW12" s="96"/>
      <c r="CX12" s="13"/>
      <c r="CY12" s="13"/>
      <c r="CZ12" s="13"/>
      <c r="DA12" s="13"/>
      <c r="DB12" s="13"/>
      <c r="DC12" s="14"/>
      <c r="DD12" s="96"/>
      <c r="DE12" s="13"/>
      <c r="DF12" s="13"/>
      <c r="DG12" s="13"/>
      <c r="DH12" s="13"/>
      <c r="DI12" s="13"/>
      <c r="DJ12" s="14"/>
      <c r="DK12" s="65"/>
      <c r="DL12" s="66"/>
    </row>
    <row r="13" ht="12.75" customHeight="1">
      <c r="A13" s="1"/>
      <c r="B13" s="51"/>
      <c r="C13" s="65"/>
      <c r="D13" s="98">
        <f>Formato!D37:I37</f>
        <v>0</v>
      </c>
      <c r="E13" s="25"/>
      <c r="F13" s="25"/>
      <c r="G13" s="25"/>
      <c r="H13" s="25"/>
      <c r="I13" s="25"/>
      <c r="J13" s="57"/>
      <c r="K13" s="98">
        <f>Formato!J37</f>
        <v>0</v>
      </c>
      <c r="L13" s="25"/>
      <c r="M13" s="25"/>
      <c r="N13" s="25"/>
      <c r="O13" s="25"/>
      <c r="P13" s="25"/>
      <c r="Q13" s="57"/>
      <c r="R13" s="98">
        <f>Formato!Q37</f>
        <v>1811</v>
      </c>
      <c r="S13" s="25"/>
      <c r="T13" s="25"/>
      <c r="U13" s="25"/>
      <c r="V13" s="25"/>
      <c r="W13" s="25"/>
      <c r="X13" s="57"/>
      <c r="Y13" s="98">
        <f>Formato!X37</f>
        <v>180</v>
      </c>
      <c r="Z13" s="25"/>
      <c r="AA13" s="25"/>
      <c r="AB13" s="25"/>
      <c r="AC13" s="25"/>
      <c r="AD13" s="25"/>
      <c r="AE13" s="57"/>
      <c r="AF13" s="98">
        <f>Formato!AE37</f>
        <v>7</v>
      </c>
      <c r="AG13" s="25"/>
      <c r="AH13" s="25"/>
      <c r="AI13" s="25"/>
      <c r="AJ13" s="25"/>
      <c r="AK13" s="25"/>
      <c r="AL13" s="57"/>
      <c r="AM13" s="98">
        <f>Formato!AL37</f>
        <v>173</v>
      </c>
      <c r="AN13" s="25"/>
      <c r="AO13" s="25"/>
      <c r="AP13" s="25"/>
      <c r="AQ13" s="25"/>
      <c r="AR13" s="25"/>
      <c r="AS13" s="57"/>
      <c r="AT13" s="59"/>
      <c r="AU13" s="59"/>
      <c r="AV13" s="98">
        <f t="shared" ref="AV13:AV17" si="1">K13</f>
        <v>0</v>
      </c>
      <c r="AW13" s="25"/>
      <c r="AX13" s="25"/>
      <c r="AY13" s="25"/>
      <c r="AZ13" s="25"/>
      <c r="BA13" s="25"/>
      <c r="BB13" s="57"/>
      <c r="BC13" s="98">
        <f>Formato!$AP$15</f>
        <v>1800</v>
      </c>
      <c r="BD13" s="25"/>
      <c r="BE13" s="25"/>
      <c r="BF13" s="25"/>
      <c r="BG13" s="25"/>
      <c r="BH13" s="25"/>
      <c r="BI13" s="57"/>
      <c r="BJ13" s="102">
        <f>AM13*(Grafica!BC13/R13)^2</f>
        <v>170.9047812</v>
      </c>
      <c r="BK13" s="25"/>
      <c r="BL13" s="25"/>
      <c r="BM13" s="25"/>
      <c r="BN13" s="25"/>
      <c r="BO13" s="25"/>
      <c r="BP13" s="57"/>
      <c r="BQ13" s="85"/>
      <c r="BR13" s="65"/>
      <c r="BS13" s="98">
        <v>0.0</v>
      </c>
      <c r="BT13" s="25"/>
      <c r="BU13" s="25"/>
      <c r="BV13" s="25"/>
      <c r="BW13" s="25"/>
      <c r="BX13" s="25"/>
      <c r="BY13" s="57"/>
      <c r="BZ13" s="98">
        <f>Formato!AP15</f>
        <v>1800</v>
      </c>
      <c r="CA13" s="25"/>
      <c r="CB13" s="25"/>
      <c r="CC13" s="25"/>
      <c r="CD13" s="25"/>
      <c r="CE13" s="25"/>
      <c r="CF13" s="57"/>
      <c r="CG13" s="102">
        <f>Formato!BR15</f>
        <v>190</v>
      </c>
      <c r="CH13" s="25"/>
      <c r="CI13" s="25"/>
      <c r="CJ13" s="25"/>
      <c r="CK13" s="25"/>
      <c r="CL13" s="25"/>
      <c r="CM13" s="57"/>
      <c r="CN13" s="93"/>
      <c r="CO13" s="93"/>
      <c r="CP13" s="98">
        <v>0.0</v>
      </c>
      <c r="CQ13" s="25"/>
      <c r="CR13" s="25"/>
      <c r="CS13" s="25"/>
      <c r="CT13" s="25"/>
      <c r="CU13" s="25"/>
      <c r="CV13" s="57"/>
      <c r="CW13" s="98">
        <f>Formato!AP15</f>
        <v>1800</v>
      </c>
      <c r="CX13" s="25"/>
      <c r="CY13" s="25"/>
      <c r="CZ13" s="25"/>
      <c r="DA13" s="25"/>
      <c r="DB13" s="25"/>
      <c r="DC13" s="57"/>
      <c r="DD13" s="102">
        <f t="shared" ref="DD13:DD15" si="2">CG13*0.95</f>
        <v>180.5</v>
      </c>
      <c r="DE13" s="25"/>
      <c r="DF13" s="25"/>
      <c r="DG13" s="25"/>
      <c r="DH13" s="25"/>
      <c r="DI13" s="25"/>
      <c r="DJ13" s="57"/>
      <c r="DK13" s="65"/>
      <c r="DL13" s="66"/>
    </row>
    <row r="14" ht="12.75" customHeight="1">
      <c r="A14" s="1"/>
      <c r="B14" s="51"/>
      <c r="C14" s="65"/>
      <c r="D14" s="98">
        <f>Formato!D38:I38</f>
        <v>50</v>
      </c>
      <c r="E14" s="25"/>
      <c r="F14" s="25"/>
      <c r="G14" s="25"/>
      <c r="H14" s="25"/>
      <c r="I14" s="25"/>
      <c r="J14" s="57"/>
      <c r="K14" s="98">
        <f>Formato!J38</f>
        <v>1500</v>
      </c>
      <c r="L14" s="25"/>
      <c r="M14" s="25"/>
      <c r="N14" s="25"/>
      <c r="O14" s="25"/>
      <c r="P14" s="25"/>
      <c r="Q14" s="57"/>
      <c r="R14" s="98">
        <f>Formato!Q38</f>
        <v>1805</v>
      </c>
      <c r="S14" s="25"/>
      <c r="T14" s="25"/>
      <c r="U14" s="25"/>
      <c r="V14" s="25"/>
      <c r="W14" s="25"/>
      <c r="X14" s="57"/>
      <c r="Y14" s="98">
        <f>Formato!X38</f>
        <v>170</v>
      </c>
      <c r="Z14" s="25"/>
      <c r="AA14" s="25"/>
      <c r="AB14" s="25"/>
      <c r="AC14" s="25"/>
      <c r="AD14" s="25"/>
      <c r="AE14" s="57"/>
      <c r="AF14" s="98">
        <f>Formato!AE38</f>
        <v>6.5</v>
      </c>
      <c r="AG14" s="25"/>
      <c r="AH14" s="25"/>
      <c r="AI14" s="25"/>
      <c r="AJ14" s="25"/>
      <c r="AK14" s="25"/>
      <c r="AL14" s="57"/>
      <c r="AM14" s="98">
        <f>Formato!AL38</f>
        <v>163.5</v>
      </c>
      <c r="AN14" s="25"/>
      <c r="AO14" s="25"/>
      <c r="AP14" s="25"/>
      <c r="AQ14" s="25"/>
      <c r="AR14" s="25"/>
      <c r="AS14" s="57"/>
      <c r="AT14" s="59"/>
      <c r="AU14" s="59"/>
      <c r="AV14" s="98">
        <f t="shared" si="1"/>
        <v>1500</v>
      </c>
      <c r="AW14" s="25"/>
      <c r="AX14" s="25"/>
      <c r="AY14" s="25"/>
      <c r="AZ14" s="25"/>
      <c r="BA14" s="25"/>
      <c r="BB14" s="57"/>
      <c r="BC14" s="98">
        <f>Formato!$AP$15</f>
        <v>1800</v>
      </c>
      <c r="BD14" s="25"/>
      <c r="BE14" s="25"/>
      <c r="BF14" s="25"/>
      <c r="BG14" s="25"/>
      <c r="BH14" s="25"/>
      <c r="BI14" s="57"/>
      <c r="BJ14" s="102">
        <f>AM14*(Grafica!BC14/R14)^2</f>
        <v>162.5954374</v>
      </c>
      <c r="BK14" s="25"/>
      <c r="BL14" s="25"/>
      <c r="BM14" s="25"/>
      <c r="BN14" s="25"/>
      <c r="BO14" s="25"/>
      <c r="BP14" s="57"/>
      <c r="BQ14" s="85"/>
      <c r="BR14" s="65"/>
      <c r="BS14" s="98">
        <f>Formato!T15</f>
        <v>3000</v>
      </c>
      <c r="BT14" s="25"/>
      <c r="BU14" s="25"/>
      <c r="BV14" s="25"/>
      <c r="BW14" s="25"/>
      <c r="BX14" s="25"/>
      <c r="BY14" s="57"/>
      <c r="BZ14" s="98">
        <f>Formato!AP15</f>
        <v>1800</v>
      </c>
      <c r="CA14" s="25"/>
      <c r="CB14" s="25"/>
      <c r="CC14" s="25"/>
      <c r="CD14" s="25"/>
      <c r="CE14" s="25"/>
      <c r="CF14" s="57"/>
      <c r="CG14" s="102">
        <f>Formato!AE15</f>
        <v>150</v>
      </c>
      <c r="CH14" s="25"/>
      <c r="CI14" s="25"/>
      <c r="CJ14" s="25"/>
      <c r="CK14" s="25"/>
      <c r="CL14" s="25"/>
      <c r="CM14" s="57"/>
      <c r="CN14" s="93"/>
      <c r="CO14" s="93"/>
      <c r="CP14" s="98">
        <f>Formato!T15</f>
        <v>3000</v>
      </c>
      <c r="CQ14" s="25"/>
      <c r="CR14" s="25"/>
      <c r="CS14" s="25"/>
      <c r="CT14" s="25"/>
      <c r="CU14" s="25"/>
      <c r="CV14" s="57"/>
      <c r="CW14" s="98">
        <f>Formato!AP15</f>
        <v>1800</v>
      </c>
      <c r="CX14" s="25"/>
      <c r="CY14" s="25"/>
      <c r="CZ14" s="25"/>
      <c r="DA14" s="25"/>
      <c r="DB14" s="25"/>
      <c r="DC14" s="57"/>
      <c r="DD14" s="102">
        <f t="shared" si="2"/>
        <v>142.5</v>
      </c>
      <c r="DE14" s="25"/>
      <c r="DF14" s="25"/>
      <c r="DG14" s="25"/>
      <c r="DH14" s="25"/>
      <c r="DI14" s="25"/>
      <c r="DJ14" s="57"/>
      <c r="DK14" s="65"/>
      <c r="DL14" s="66"/>
    </row>
    <row r="15" ht="12.75" customHeight="1">
      <c r="A15" s="1"/>
      <c r="B15" s="51"/>
      <c r="C15" s="65"/>
      <c r="D15" s="98">
        <f>Formato!D39:I39</f>
        <v>100</v>
      </c>
      <c r="E15" s="25"/>
      <c r="F15" s="25"/>
      <c r="G15" s="25"/>
      <c r="H15" s="25"/>
      <c r="I15" s="25"/>
      <c r="J15" s="57"/>
      <c r="K15" s="98">
        <f>Formato!J39</f>
        <v>3000</v>
      </c>
      <c r="L15" s="25"/>
      <c r="M15" s="25"/>
      <c r="N15" s="25"/>
      <c r="O15" s="25"/>
      <c r="P15" s="25"/>
      <c r="Q15" s="57"/>
      <c r="R15" s="98">
        <f>Formato!Q39</f>
        <v>1800</v>
      </c>
      <c r="S15" s="25"/>
      <c r="T15" s="25"/>
      <c r="U15" s="25"/>
      <c r="V15" s="25"/>
      <c r="W15" s="25"/>
      <c r="X15" s="57"/>
      <c r="Y15" s="98">
        <f>Formato!X39</f>
        <v>155</v>
      </c>
      <c r="Z15" s="25"/>
      <c r="AA15" s="25"/>
      <c r="AB15" s="25"/>
      <c r="AC15" s="25"/>
      <c r="AD15" s="25"/>
      <c r="AE15" s="57"/>
      <c r="AF15" s="98">
        <f>Formato!AE39</f>
        <v>6.5</v>
      </c>
      <c r="AG15" s="25"/>
      <c r="AH15" s="25"/>
      <c r="AI15" s="25"/>
      <c r="AJ15" s="25"/>
      <c r="AK15" s="25"/>
      <c r="AL15" s="57"/>
      <c r="AM15" s="98">
        <f>Formato!AL39</f>
        <v>148.5</v>
      </c>
      <c r="AN15" s="25"/>
      <c r="AO15" s="25"/>
      <c r="AP15" s="25"/>
      <c r="AQ15" s="25"/>
      <c r="AR15" s="25"/>
      <c r="AS15" s="57"/>
      <c r="AT15" s="59"/>
      <c r="AU15" s="59"/>
      <c r="AV15" s="98">
        <f t="shared" si="1"/>
        <v>3000</v>
      </c>
      <c r="AW15" s="25"/>
      <c r="AX15" s="25"/>
      <c r="AY15" s="25"/>
      <c r="AZ15" s="25"/>
      <c r="BA15" s="25"/>
      <c r="BB15" s="57"/>
      <c r="BC15" s="98">
        <f>Formato!$AP$15</f>
        <v>1800</v>
      </c>
      <c r="BD15" s="25"/>
      <c r="BE15" s="25"/>
      <c r="BF15" s="25"/>
      <c r="BG15" s="25"/>
      <c r="BH15" s="25"/>
      <c r="BI15" s="57"/>
      <c r="BJ15" s="102">
        <f>AM15*(Grafica!BC15/R15)^2</f>
        <v>148.5</v>
      </c>
      <c r="BK15" s="25"/>
      <c r="BL15" s="25"/>
      <c r="BM15" s="25"/>
      <c r="BN15" s="25"/>
      <c r="BO15" s="25"/>
      <c r="BP15" s="57"/>
      <c r="BQ15" s="85"/>
      <c r="BR15" s="65"/>
      <c r="BS15" s="98">
        <f>BS14*1.5</f>
        <v>4500</v>
      </c>
      <c r="BT15" s="25"/>
      <c r="BU15" s="25"/>
      <c r="BV15" s="25"/>
      <c r="BW15" s="25"/>
      <c r="BX15" s="25"/>
      <c r="BY15" s="57"/>
      <c r="BZ15" s="98">
        <f>Formato!AP15</f>
        <v>1800</v>
      </c>
      <c r="CA15" s="25"/>
      <c r="CB15" s="25"/>
      <c r="CC15" s="25"/>
      <c r="CD15" s="25"/>
      <c r="CE15" s="25"/>
      <c r="CF15" s="57"/>
      <c r="CG15" s="102">
        <f>Formato!CU15</f>
        <v>115</v>
      </c>
      <c r="CH15" s="25"/>
      <c r="CI15" s="25"/>
      <c r="CJ15" s="25"/>
      <c r="CK15" s="25"/>
      <c r="CL15" s="25"/>
      <c r="CM15" s="57"/>
      <c r="CN15" s="93"/>
      <c r="CO15" s="93"/>
      <c r="CP15" s="98">
        <f>CP14*1.5</f>
        <v>4500</v>
      </c>
      <c r="CQ15" s="25"/>
      <c r="CR15" s="25"/>
      <c r="CS15" s="25"/>
      <c r="CT15" s="25"/>
      <c r="CU15" s="25"/>
      <c r="CV15" s="57"/>
      <c r="CW15" s="98">
        <f>Formato!AP15</f>
        <v>1800</v>
      </c>
      <c r="CX15" s="25"/>
      <c r="CY15" s="25"/>
      <c r="CZ15" s="25"/>
      <c r="DA15" s="25"/>
      <c r="DB15" s="25"/>
      <c r="DC15" s="57"/>
      <c r="DD15" s="102">
        <f t="shared" si="2"/>
        <v>109.25</v>
      </c>
      <c r="DE15" s="25"/>
      <c r="DF15" s="25"/>
      <c r="DG15" s="25"/>
      <c r="DH15" s="25"/>
      <c r="DI15" s="25"/>
      <c r="DJ15" s="57"/>
      <c r="DK15" s="65"/>
      <c r="DL15" s="66"/>
    </row>
    <row r="16" ht="12.75" customHeight="1">
      <c r="A16" s="1"/>
      <c r="B16" s="51"/>
      <c r="C16" s="65"/>
      <c r="D16" s="98">
        <f>Formato!D40:I40</f>
        <v>125</v>
      </c>
      <c r="E16" s="25"/>
      <c r="F16" s="25"/>
      <c r="G16" s="25"/>
      <c r="H16" s="25"/>
      <c r="I16" s="25"/>
      <c r="J16" s="57"/>
      <c r="K16" s="98">
        <f>Formato!J40</f>
        <v>3750</v>
      </c>
      <c r="L16" s="25"/>
      <c r="M16" s="25"/>
      <c r="N16" s="25"/>
      <c r="O16" s="25"/>
      <c r="P16" s="25"/>
      <c r="Q16" s="57"/>
      <c r="R16" s="98">
        <f>Formato!Q40</f>
        <v>1790</v>
      </c>
      <c r="S16" s="25"/>
      <c r="T16" s="25"/>
      <c r="U16" s="25"/>
      <c r="V16" s="25"/>
      <c r="W16" s="25"/>
      <c r="X16" s="57"/>
      <c r="Y16" s="98">
        <f>Formato!X40</f>
        <v>135</v>
      </c>
      <c r="Z16" s="25"/>
      <c r="AA16" s="25"/>
      <c r="AB16" s="25"/>
      <c r="AC16" s="25"/>
      <c r="AD16" s="25"/>
      <c r="AE16" s="57"/>
      <c r="AF16" s="98">
        <f>Formato!AE40</f>
        <v>6</v>
      </c>
      <c r="AG16" s="25"/>
      <c r="AH16" s="25"/>
      <c r="AI16" s="25"/>
      <c r="AJ16" s="25"/>
      <c r="AK16" s="25"/>
      <c r="AL16" s="57"/>
      <c r="AM16" s="98">
        <f>Formato!AL40</f>
        <v>129</v>
      </c>
      <c r="AN16" s="25"/>
      <c r="AO16" s="25"/>
      <c r="AP16" s="25"/>
      <c r="AQ16" s="25"/>
      <c r="AR16" s="25"/>
      <c r="AS16" s="57"/>
      <c r="AT16" s="59"/>
      <c r="AU16" s="59"/>
      <c r="AV16" s="98">
        <f t="shared" si="1"/>
        <v>3750</v>
      </c>
      <c r="AW16" s="25"/>
      <c r="AX16" s="25"/>
      <c r="AY16" s="25"/>
      <c r="AZ16" s="25"/>
      <c r="BA16" s="25"/>
      <c r="BB16" s="57"/>
      <c r="BC16" s="98">
        <f>Formato!$AP$15</f>
        <v>1800</v>
      </c>
      <c r="BD16" s="25"/>
      <c r="BE16" s="25"/>
      <c r="BF16" s="25"/>
      <c r="BG16" s="25"/>
      <c r="BH16" s="25"/>
      <c r="BI16" s="57"/>
      <c r="BJ16" s="102">
        <f>AM16*(Grafica!BC16/R16)^2</f>
        <v>130.4453669</v>
      </c>
      <c r="BK16" s="25"/>
      <c r="BL16" s="25"/>
      <c r="BM16" s="25"/>
      <c r="BN16" s="25"/>
      <c r="BO16" s="25"/>
      <c r="BP16" s="57"/>
      <c r="BQ16" s="85"/>
      <c r="BR16" s="65"/>
      <c r="BS16" s="103"/>
      <c r="BT16" s="22"/>
      <c r="BU16" s="22"/>
      <c r="BV16" s="22"/>
      <c r="BW16" s="22"/>
      <c r="BX16" s="22"/>
      <c r="BY16" s="23"/>
      <c r="BZ16" s="103"/>
      <c r="CA16" s="22"/>
      <c r="CB16" s="22"/>
      <c r="CC16" s="22"/>
      <c r="CD16" s="22"/>
      <c r="CE16" s="22"/>
      <c r="CF16" s="23"/>
      <c r="CG16" s="104"/>
      <c r="CH16" s="22"/>
      <c r="CI16" s="22"/>
      <c r="CJ16" s="22"/>
      <c r="CK16" s="22"/>
      <c r="CL16" s="22"/>
      <c r="CM16" s="23"/>
      <c r="CN16" s="93"/>
      <c r="CO16" s="93"/>
      <c r="CP16" s="103"/>
      <c r="CQ16" s="22"/>
      <c r="CR16" s="22"/>
      <c r="CS16" s="22"/>
      <c r="CT16" s="22"/>
      <c r="CU16" s="22"/>
      <c r="CV16" s="23"/>
      <c r="CW16" s="103"/>
      <c r="CX16" s="22"/>
      <c r="CY16" s="22"/>
      <c r="CZ16" s="22"/>
      <c r="DA16" s="22"/>
      <c r="DB16" s="22"/>
      <c r="DC16" s="23"/>
      <c r="DD16" s="104"/>
      <c r="DE16" s="22"/>
      <c r="DF16" s="22"/>
      <c r="DG16" s="22"/>
      <c r="DH16" s="22"/>
      <c r="DI16" s="22"/>
      <c r="DJ16" s="23"/>
      <c r="DK16" s="65"/>
      <c r="DL16" s="66"/>
    </row>
    <row r="17" ht="12.75" customHeight="1">
      <c r="A17" s="1"/>
      <c r="B17" s="51"/>
      <c r="C17" s="65"/>
      <c r="D17" s="98">
        <f>Formato!D41:I41</f>
        <v>150</v>
      </c>
      <c r="E17" s="25"/>
      <c r="F17" s="25"/>
      <c r="G17" s="25"/>
      <c r="H17" s="25"/>
      <c r="I17" s="25"/>
      <c r="J17" s="57"/>
      <c r="K17" s="98">
        <f>Formato!J41</f>
        <v>4500</v>
      </c>
      <c r="L17" s="25"/>
      <c r="M17" s="25"/>
      <c r="N17" s="25"/>
      <c r="O17" s="25"/>
      <c r="P17" s="25"/>
      <c r="Q17" s="57"/>
      <c r="R17" s="98">
        <f>Formato!Q41</f>
        <v>1783</v>
      </c>
      <c r="S17" s="25"/>
      <c r="T17" s="25"/>
      <c r="U17" s="25"/>
      <c r="V17" s="25"/>
      <c r="W17" s="25"/>
      <c r="X17" s="57"/>
      <c r="Y17" s="98">
        <f>Formato!X41</f>
        <v>115</v>
      </c>
      <c r="Z17" s="25"/>
      <c r="AA17" s="25"/>
      <c r="AB17" s="25"/>
      <c r="AC17" s="25"/>
      <c r="AD17" s="25"/>
      <c r="AE17" s="57"/>
      <c r="AF17" s="98">
        <f>Formato!AE41</f>
        <v>5.5</v>
      </c>
      <c r="AG17" s="25"/>
      <c r="AH17" s="25"/>
      <c r="AI17" s="25"/>
      <c r="AJ17" s="25"/>
      <c r="AK17" s="25"/>
      <c r="AL17" s="57"/>
      <c r="AM17" s="98">
        <f>Formato!AL41</f>
        <v>109.5</v>
      </c>
      <c r="AN17" s="25"/>
      <c r="AO17" s="25"/>
      <c r="AP17" s="25"/>
      <c r="AQ17" s="25"/>
      <c r="AR17" s="25"/>
      <c r="AS17" s="57"/>
      <c r="AT17" s="59"/>
      <c r="AU17" s="59"/>
      <c r="AV17" s="98">
        <f t="shared" si="1"/>
        <v>4500</v>
      </c>
      <c r="AW17" s="25"/>
      <c r="AX17" s="25"/>
      <c r="AY17" s="25"/>
      <c r="AZ17" s="25"/>
      <c r="BA17" s="25"/>
      <c r="BB17" s="57"/>
      <c r="BC17" s="98">
        <f>Formato!$AP$15</f>
        <v>1800</v>
      </c>
      <c r="BD17" s="25"/>
      <c r="BE17" s="25"/>
      <c r="BF17" s="25"/>
      <c r="BG17" s="25"/>
      <c r="BH17" s="25"/>
      <c r="BI17" s="57"/>
      <c r="BJ17" s="102">
        <f>AM17*(Grafica!BC17/R17)^2</f>
        <v>111.5980081</v>
      </c>
      <c r="BK17" s="25"/>
      <c r="BL17" s="25"/>
      <c r="BM17" s="25"/>
      <c r="BN17" s="25"/>
      <c r="BO17" s="25"/>
      <c r="BP17" s="57"/>
      <c r="BQ17" s="85"/>
      <c r="BR17" s="65"/>
      <c r="BS17" s="67"/>
      <c r="BT17" s="53"/>
      <c r="BU17" s="53"/>
      <c r="BV17" s="53"/>
      <c r="BW17" s="53"/>
      <c r="BX17" s="53"/>
      <c r="BY17" s="54"/>
      <c r="BZ17" s="67"/>
      <c r="CA17" s="53"/>
      <c r="CB17" s="53"/>
      <c r="CC17" s="53"/>
      <c r="CD17" s="53"/>
      <c r="CE17" s="53"/>
      <c r="CF17" s="54"/>
      <c r="CG17" s="116"/>
      <c r="CH17" s="53"/>
      <c r="CI17" s="53"/>
      <c r="CJ17" s="53"/>
      <c r="CK17" s="53"/>
      <c r="CL17" s="53"/>
      <c r="CM17" s="54"/>
      <c r="CN17" s="93"/>
      <c r="CO17" s="93"/>
      <c r="CP17" s="67"/>
      <c r="CQ17" s="53"/>
      <c r="CR17" s="53"/>
      <c r="CS17" s="53"/>
      <c r="CT17" s="53"/>
      <c r="CU17" s="53"/>
      <c r="CV17" s="54"/>
      <c r="CW17" s="67"/>
      <c r="CX17" s="53"/>
      <c r="CY17" s="53"/>
      <c r="CZ17" s="53"/>
      <c r="DA17" s="53"/>
      <c r="DB17" s="53"/>
      <c r="DC17" s="54"/>
      <c r="DD17" s="116"/>
      <c r="DE17" s="53"/>
      <c r="DF17" s="53"/>
      <c r="DG17" s="53"/>
      <c r="DH17" s="53"/>
      <c r="DI17" s="53"/>
      <c r="DJ17" s="54"/>
      <c r="DK17" s="65"/>
      <c r="DL17" s="66"/>
    </row>
    <row r="18" ht="12.75" customHeight="1">
      <c r="A18" s="1"/>
      <c r="B18" s="51"/>
      <c r="C18" s="65"/>
      <c r="D18" s="65"/>
      <c r="E18" s="65"/>
      <c r="F18" s="65"/>
      <c r="G18" s="65"/>
      <c r="H18" s="65"/>
      <c r="I18" s="65"/>
      <c r="J18" s="65"/>
      <c r="K18" s="65"/>
      <c r="L18" s="65"/>
      <c r="M18" s="65"/>
      <c r="N18" s="65"/>
      <c r="O18" s="65"/>
      <c r="P18" s="65"/>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5"/>
      <c r="BD18" s="65"/>
      <c r="BE18" s="65"/>
      <c r="BF18" s="65"/>
      <c r="BG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c r="CT18" s="65"/>
      <c r="CU18" s="65"/>
      <c r="CV18" s="65"/>
      <c r="CW18" s="65"/>
      <c r="CX18" s="65"/>
      <c r="CY18" s="65"/>
      <c r="CZ18" s="65"/>
      <c r="DA18" s="65"/>
      <c r="DB18" s="65"/>
      <c r="DC18" s="65"/>
      <c r="DD18" s="65"/>
      <c r="DE18" s="65"/>
      <c r="DF18" s="65"/>
      <c r="DG18" s="65"/>
      <c r="DH18" s="65"/>
      <c r="DI18" s="65"/>
      <c r="DJ18" s="65"/>
      <c r="DK18" s="65"/>
      <c r="DL18" s="66"/>
    </row>
    <row r="19" ht="12.75" customHeight="1">
      <c r="A19" s="1"/>
      <c r="B19" s="51"/>
      <c r="C19" s="101"/>
      <c r="D19" s="54"/>
      <c r="E19" s="120"/>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c r="CJ19" s="53"/>
      <c r="CK19" s="53"/>
      <c r="CL19" s="53"/>
      <c r="CM19" s="53"/>
      <c r="CN19" s="53"/>
      <c r="CO19" s="53"/>
      <c r="CP19" s="53"/>
      <c r="CQ19" s="53"/>
      <c r="CR19" s="53"/>
      <c r="CS19" s="53"/>
      <c r="CT19" s="53"/>
      <c r="CU19" s="53"/>
      <c r="CV19" s="53"/>
      <c r="CW19" s="53"/>
      <c r="CX19" s="53"/>
      <c r="CY19" s="53"/>
      <c r="CZ19" s="53"/>
      <c r="DA19" s="53"/>
      <c r="DB19" s="53"/>
      <c r="DC19" s="53"/>
      <c r="DD19" s="53"/>
      <c r="DE19" s="53"/>
      <c r="DF19" s="53"/>
      <c r="DG19" s="53"/>
      <c r="DH19" s="53"/>
      <c r="DI19" s="53"/>
      <c r="DJ19" s="53"/>
      <c r="DK19" s="54"/>
      <c r="DL19" s="66"/>
    </row>
    <row r="20" ht="12.75" customHeight="1">
      <c r="A20" s="1"/>
      <c r="B20" s="51"/>
      <c r="C20" s="101"/>
      <c r="D20" s="54"/>
      <c r="E20" s="120"/>
      <c r="F20" s="53"/>
      <c r="G20" s="53"/>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c r="CJ20" s="53"/>
      <c r="CK20" s="53"/>
      <c r="CL20" s="53"/>
      <c r="CM20" s="53"/>
      <c r="CN20" s="53"/>
      <c r="CO20" s="53"/>
      <c r="CP20" s="53"/>
      <c r="CQ20" s="53"/>
      <c r="CR20" s="53"/>
      <c r="CS20" s="53"/>
      <c r="CT20" s="53"/>
      <c r="CU20" s="53"/>
      <c r="CV20" s="53"/>
      <c r="CW20" s="53"/>
      <c r="CX20" s="53"/>
      <c r="CY20" s="53"/>
      <c r="CZ20" s="53"/>
      <c r="DA20" s="53"/>
      <c r="DB20" s="53"/>
      <c r="DC20" s="53"/>
      <c r="DD20" s="53"/>
      <c r="DE20" s="53"/>
      <c r="DF20" s="53"/>
      <c r="DG20" s="53"/>
      <c r="DH20" s="53"/>
      <c r="DI20" s="53"/>
      <c r="DJ20" s="53"/>
      <c r="DK20" s="54"/>
      <c r="DL20" s="66"/>
    </row>
    <row r="21" ht="12.75" customHeight="1">
      <c r="A21" s="1"/>
      <c r="B21" s="51"/>
      <c r="C21" s="101"/>
      <c r="D21" s="54"/>
      <c r="E21" s="120"/>
      <c r="F21" s="53"/>
      <c r="G21" s="53"/>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c r="CJ21" s="53"/>
      <c r="CK21" s="53"/>
      <c r="CL21" s="53"/>
      <c r="CM21" s="53"/>
      <c r="CN21" s="53"/>
      <c r="CO21" s="53"/>
      <c r="CP21" s="53"/>
      <c r="CQ21" s="53"/>
      <c r="CR21" s="53"/>
      <c r="CS21" s="53"/>
      <c r="CT21" s="53"/>
      <c r="CU21" s="53"/>
      <c r="CV21" s="53"/>
      <c r="CW21" s="53"/>
      <c r="CX21" s="53"/>
      <c r="CY21" s="53"/>
      <c r="CZ21" s="53"/>
      <c r="DA21" s="53"/>
      <c r="DB21" s="53"/>
      <c r="DC21" s="53"/>
      <c r="DD21" s="53"/>
      <c r="DE21" s="53"/>
      <c r="DF21" s="53"/>
      <c r="DG21" s="53"/>
      <c r="DH21" s="53"/>
      <c r="DI21" s="53"/>
      <c r="DJ21" s="53"/>
      <c r="DK21" s="54"/>
      <c r="DL21" s="66"/>
    </row>
    <row r="22" ht="12.75" customHeight="1">
      <c r="A22" s="1"/>
      <c r="B22" s="51"/>
      <c r="C22" s="101"/>
      <c r="D22" s="54"/>
      <c r="E22" s="120"/>
      <c r="F22" s="53"/>
      <c r="G22" s="53"/>
      <c r="H22" s="5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c r="CJ22" s="53"/>
      <c r="CK22" s="53"/>
      <c r="CL22" s="53"/>
      <c r="CM22" s="53"/>
      <c r="CN22" s="53"/>
      <c r="CO22" s="53"/>
      <c r="CP22" s="53"/>
      <c r="CQ22" s="53"/>
      <c r="CR22" s="53"/>
      <c r="CS22" s="53"/>
      <c r="CT22" s="53"/>
      <c r="CU22" s="53"/>
      <c r="CV22" s="53"/>
      <c r="CW22" s="53"/>
      <c r="CX22" s="53"/>
      <c r="CY22" s="53"/>
      <c r="CZ22" s="53"/>
      <c r="DA22" s="53"/>
      <c r="DB22" s="53"/>
      <c r="DC22" s="53"/>
      <c r="DD22" s="53"/>
      <c r="DE22" s="53"/>
      <c r="DF22" s="53"/>
      <c r="DG22" s="53"/>
      <c r="DH22" s="53"/>
      <c r="DI22" s="53"/>
      <c r="DJ22" s="53"/>
      <c r="DK22" s="54"/>
      <c r="DL22" s="66"/>
    </row>
    <row r="23" ht="12.75" customHeight="1">
      <c r="A23" s="1"/>
      <c r="B23" s="51"/>
      <c r="C23" s="101"/>
      <c r="D23" s="54"/>
      <c r="E23" s="120"/>
      <c r="F23" s="53"/>
      <c r="G23" s="53"/>
      <c r="H23" s="53"/>
      <c r="I23" s="53"/>
      <c r="J23" s="53"/>
      <c r="K23" s="53"/>
      <c r="L23" s="53"/>
      <c r="M23" s="53"/>
      <c r="N23" s="53"/>
      <c r="O23" s="53"/>
      <c r="P23" s="53"/>
      <c r="Q23" s="53"/>
      <c r="R23" s="53"/>
      <c r="S23" s="53"/>
      <c r="T23" s="53"/>
      <c r="U23" s="53"/>
      <c r="V23" s="53"/>
      <c r="W23" s="53"/>
      <c r="X23" s="53"/>
      <c r="Y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c r="CJ23" s="53"/>
      <c r="CK23" s="53"/>
      <c r="CL23" s="53"/>
      <c r="CM23" s="53"/>
      <c r="CN23" s="53"/>
      <c r="CO23" s="53"/>
      <c r="CP23" s="53"/>
      <c r="CQ23" s="53"/>
      <c r="CR23" s="53"/>
      <c r="CS23" s="53"/>
      <c r="CT23" s="53"/>
      <c r="CU23" s="53"/>
      <c r="CV23" s="53"/>
      <c r="CW23" s="53"/>
      <c r="CX23" s="53"/>
      <c r="CY23" s="53"/>
      <c r="CZ23" s="53"/>
      <c r="DA23" s="53"/>
      <c r="DB23" s="53"/>
      <c r="DC23" s="53"/>
      <c r="DD23" s="53"/>
      <c r="DE23" s="53"/>
      <c r="DF23" s="53"/>
      <c r="DG23" s="53"/>
      <c r="DH23" s="53"/>
      <c r="DI23" s="53"/>
      <c r="DJ23" s="53"/>
      <c r="DK23" s="54"/>
      <c r="DL23" s="66"/>
    </row>
    <row r="24" ht="12.75" customHeight="1">
      <c r="A24" s="1"/>
      <c r="B24" s="51"/>
      <c r="C24" s="101"/>
      <c r="D24" s="54"/>
      <c r="E24" s="120"/>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c r="CJ24" s="53"/>
      <c r="CK24" s="53"/>
      <c r="CL24" s="53"/>
      <c r="CM24" s="53"/>
      <c r="CN24" s="53"/>
      <c r="CO24" s="53"/>
      <c r="CP24" s="53"/>
      <c r="CQ24" s="53"/>
      <c r="CR24" s="53"/>
      <c r="CS24" s="53"/>
      <c r="CT24" s="53"/>
      <c r="CU24" s="53"/>
      <c r="CV24" s="53"/>
      <c r="CW24" s="53"/>
      <c r="CX24" s="53"/>
      <c r="CY24" s="53"/>
      <c r="CZ24" s="53"/>
      <c r="DA24" s="53"/>
      <c r="DB24" s="53"/>
      <c r="DC24" s="53"/>
      <c r="DD24" s="53"/>
      <c r="DE24" s="53"/>
      <c r="DF24" s="53"/>
      <c r="DG24" s="53"/>
      <c r="DH24" s="53"/>
      <c r="DI24" s="53"/>
      <c r="DJ24" s="53"/>
      <c r="DK24" s="54"/>
      <c r="DL24" s="66"/>
    </row>
    <row r="25" ht="12.75" customHeight="1">
      <c r="A25" s="1"/>
      <c r="B25" s="51"/>
      <c r="C25" s="101"/>
      <c r="D25" s="54"/>
      <c r="E25" s="120"/>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M25" s="53"/>
      <c r="CN25" s="53"/>
      <c r="CO25" s="53"/>
      <c r="CP25" s="53"/>
      <c r="CQ25" s="53"/>
      <c r="CR25" s="53"/>
      <c r="CS25" s="53"/>
      <c r="CT25" s="53"/>
      <c r="CU25" s="53"/>
      <c r="CV25" s="53"/>
      <c r="CW25" s="53"/>
      <c r="CX25" s="53"/>
      <c r="CY25" s="53"/>
      <c r="CZ25" s="53"/>
      <c r="DA25" s="53"/>
      <c r="DB25" s="53"/>
      <c r="DC25" s="53"/>
      <c r="DD25" s="53"/>
      <c r="DE25" s="53"/>
      <c r="DF25" s="53"/>
      <c r="DG25" s="53"/>
      <c r="DH25" s="53"/>
      <c r="DI25" s="53"/>
      <c r="DJ25" s="53"/>
      <c r="DK25" s="54"/>
      <c r="DL25" s="66"/>
    </row>
    <row r="26" ht="12.75" customHeight="1">
      <c r="A26" s="1"/>
      <c r="B26" s="51"/>
      <c r="C26" s="101"/>
      <c r="D26" s="54"/>
      <c r="E26" s="120"/>
      <c r="F26" s="53"/>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c r="CJ26" s="53"/>
      <c r="CK26" s="53"/>
      <c r="CL26" s="53"/>
      <c r="CM26" s="53"/>
      <c r="CN26" s="53"/>
      <c r="CO26" s="53"/>
      <c r="CP26" s="53"/>
      <c r="CQ26" s="53"/>
      <c r="CR26" s="53"/>
      <c r="CS26" s="53"/>
      <c r="CT26" s="53"/>
      <c r="CU26" s="53"/>
      <c r="CV26" s="53"/>
      <c r="CW26" s="53"/>
      <c r="CX26" s="53"/>
      <c r="CY26" s="53"/>
      <c r="CZ26" s="53"/>
      <c r="DA26" s="53"/>
      <c r="DB26" s="53"/>
      <c r="DC26" s="53"/>
      <c r="DD26" s="53"/>
      <c r="DE26" s="53"/>
      <c r="DF26" s="53"/>
      <c r="DG26" s="53"/>
      <c r="DH26" s="53"/>
      <c r="DI26" s="53"/>
      <c r="DJ26" s="53"/>
      <c r="DK26" s="54"/>
      <c r="DL26" s="66"/>
    </row>
    <row r="27" ht="12.75" customHeight="1">
      <c r="A27" s="1"/>
      <c r="B27" s="51"/>
      <c r="C27" s="101"/>
      <c r="D27" s="54"/>
      <c r="E27" s="120"/>
      <c r="F27" s="53"/>
      <c r="G27" s="53"/>
      <c r="H27" s="53"/>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c r="CJ27" s="53"/>
      <c r="CK27" s="53"/>
      <c r="CL27" s="53"/>
      <c r="CM27" s="53"/>
      <c r="CN27" s="53"/>
      <c r="CO27" s="53"/>
      <c r="CP27" s="53"/>
      <c r="CQ27" s="53"/>
      <c r="CR27" s="53"/>
      <c r="CS27" s="53"/>
      <c r="CT27" s="53"/>
      <c r="CU27" s="53"/>
      <c r="CV27" s="53"/>
      <c r="CW27" s="53"/>
      <c r="CX27" s="53"/>
      <c r="CY27" s="53"/>
      <c r="CZ27" s="53"/>
      <c r="DA27" s="53"/>
      <c r="DB27" s="53"/>
      <c r="DC27" s="53"/>
      <c r="DD27" s="53"/>
      <c r="DE27" s="53"/>
      <c r="DF27" s="53"/>
      <c r="DG27" s="53"/>
      <c r="DH27" s="53"/>
      <c r="DI27" s="53"/>
      <c r="DJ27" s="53"/>
      <c r="DK27" s="54"/>
      <c r="DL27" s="66"/>
    </row>
    <row r="28" ht="12.75" customHeight="1">
      <c r="A28" s="1"/>
      <c r="B28" s="51"/>
      <c r="C28" s="101"/>
      <c r="D28" s="54"/>
      <c r="E28" s="120"/>
      <c r="F28" s="53"/>
      <c r="G28" s="53"/>
      <c r="H28" s="53"/>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c r="CJ28" s="53"/>
      <c r="CK28" s="53"/>
      <c r="CL28" s="53"/>
      <c r="CM28" s="53"/>
      <c r="CN28" s="53"/>
      <c r="CO28" s="53"/>
      <c r="CP28" s="53"/>
      <c r="CQ28" s="53"/>
      <c r="CR28" s="53"/>
      <c r="CS28" s="53"/>
      <c r="CT28" s="53"/>
      <c r="CU28" s="53"/>
      <c r="CV28" s="53"/>
      <c r="CW28" s="53"/>
      <c r="CX28" s="53"/>
      <c r="CY28" s="53"/>
      <c r="CZ28" s="53"/>
      <c r="DA28" s="53"/>
      <c r="DB28" s="53"/>
      <c r="DC28" s="53"/>
      <c r="DD28" s="53"/>
      <c r="DE28" s="53"/>
      <c r="DF28" s="53"/>
      <c r="DG28" s="53"/>
      <c r="DH28" s="53"/>
      <c r="DI28" s="53"/>
      <c r="DJ28" s="53"/>
      <c r="DK28" s="54"/>
      <c r="DL28" s="66"/>
    </row>
    <row r="29" ht="12.75" customHeight="1">
      <c r="A29" s="1"/>
      <c r="B29" s="51"/>
      <c r="C29" s="101"/>
      <c r="D29" s="54"/>
      <c r="E29" s="120"/>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c r="CJ29" s="53"/>
      <c r="CK29" s="53"/>
      <c r="CL29" s="53"/>
      <c r="CM29" s="53"/>
      <c r="CN29" s="53"/>
      <c r="CO29" s="53"/>
      <c r="CP29" s="53"/>
      <c r="CQ29" s="53"/>
      <c r="CR29" s="53"/>
      <c r="CS29" s="53"/>
      <c r="CT29" s="53"/>
      <c r="CU29" s="53"/>
      <c r="CV29" s="53"/>
      <c r="CW29" s="53"/>
      <c r="CX29" s="53"/>
      <c r="CY29" s="53"/>
      <c r="CZ29" s="53"/>
      <c r="DA29" s="53"/>
      <c r="DB29" s="53"/>
      <c r="DC29" s="53"/>
      <c r="DD29" s="53"/>
      <c r="DE29" s="53"/>
      <c r="DF29" s="53"/>
      <c r="DG29" s="53"/>
      <c r="DH29" s="53"/>
      <c r="DI29" s="53"/>
      <c r="DJ29" s="53"/>
      <c r="DK29" s="54"/>
      <c r="DL29" s="66"/>
    </row>
    <row r="30" ht="12.75" customHeight="1">
      <c r="A30" s="1"/>
      <c r="B30" s="51"/>
      <c r="C30" s="101"/>
      <c r="D30" s="54"/>
      <c r="E30" s="120"/>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c r="CJ30" s="53"/>
      <c r="CK30" s="53"/>
      <c r="CL30" s="53"/>
      <c r="CM30" s="53"/>
      <c r="CN30" s="53"/>
      <c r="CO30" s="53"/>
      <c r="CP30" s="53"/>
      <c r="CQ30" s="53"/>
      <c r="CR30" s="53"/>
      <c r="CS30" s="53"/>
      <c r="CT30" s="53"/>
      <c r="CU30" s="53"/>
      <c r="CV30" s="53"/>
      <c r="CW30" s="53"/>
      <c r="CX30" s="53"/>
      <c r="CY30" s="53"/>
      <c r="CZ30" s="53"/>
      <c r="DA30" s="53"/>
      <c r="DB30" s="53"/>
      <c r="DC30" s="53"/>
      <c r="DD30" s="53"/>
      <c r="DE30" s="53"/>
      <c r="DF30" s="53"/>
      <c r="DG30" s="53"/>
      <c r="DH30" s="53"/>
      <c r="DI30" s="53"/>
      <c r="DJ30" s="53"/>
      <c r="DK30" s="54"/>
      <c r="DL30" s="66"/>
    </row>
    <row r="31" ht="12.75" customHeight="1">
      <c r="A31" s="1"/>
      <c r="B31" s="51"/>
      <c r="C31" s="101"/>
      <c r="D31" s="54"/>
      <c r="E31" s="120"/>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53"/>
      <c r="CF31" s="53"/>
      <c r="CG31" s="53"/>
      <c r="CH31" s="53"/>
      <c r="CI31" s="53"/>
      <c r="CJ31" s="53"/>
      <c r="CK31" s="53"/>
      <c r="CL31" s="53"/>
      <c r="CM31" s="53"/>
      <c r="CN31" s="53"/>
      <c r="CO31" s="53"/>
      <c r="CP31" s="53"/>
      <c r="CQ31" s="53"/>
      <c r="CR31" s="53"/>
      <c r="CS31" s="53"/>
      <c r="CT31" s="53"/>
      <c r="CU31" s="53"/>
      <c r="CV31" s="53"/>
      <c r="CW31" s="53"/>
      <c r="CX31" s="53"/>
      <c r="CY31" s="53"/>
      <c r="CZ31" s="53"/>
      <c r="DA31" s="53"/>
      <c r="DB31" s="53"/>
      <c r="DC31" s="53"/>
      <c r="DD31" s="53"/>
      <c r="DE31" s="53"/>
      <c r="DF31" s="53"/>
      <c r="DG31" s="53"/>
      <c r="DH31" s="53"/>
      <c r="DI31" s="53"/>
      <c r="DJ31" s="53"/>
      <c r="DK31" s="54"/>
      <c r="DL31" s="66"/>
    </row>
    <row r="32" ht="12.75" customHeight="1">
      <c r="A32" s="1"/>
      <c r="B32" s="51"/>
      <c r="C32" s="101"/>
      <c r="D32" s="54"/>
      <c r="E32" s="120"/>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c r="BP32" s="53"/>
      <c r="BQ32" s="53"/>
      <c r="BR32" s="53"/>
      <c r="BS32" s="53"/>
      <c r="BT32" s="53"/>
      <c r="BU32" s="53"/>
      <c r="BV32" s="53"/>
      <c r="BW32" s="53"/>
      <c r="BX32" s="53"/>
      <c r="BY32" s="53"/>
      <c r="BZ32" s="53"/>
      <c r="CA32" s="53"/>
      <c r="CB32" s="53"/>
      <c r="CC32" s="53"/>
      <c r="CD32" s="53"/>
      <c r="CE32" s="53"/>
      <c r="CF32" s="53"/>
      <c r="CG32" s="53"/>
      <c r="CH32" s="53"/>
      <c r="CI32" s="53"/>
      <c r="CJ32" s="53"/>
      <c r="CK32" s="53"/>
      <c r="CL32" s="53"/>
      <c r="CM32" s="53"/>
      <c r="CN32" s="53"/>
      <c r="CO32" s="53"/>
      <c r="CP32" s="53"/>
      <c r="CQ32" s="53"/>
      <c r="CR32" s="53"/>
      <c r="CS32" s="53"/>
      <c r="CT32" s="53"/>
      <c r="CU32" s="53"/>
      <c r="CV32" s="53"/>
      <c r="CW32" s="53"/>
      <c r="CX32" s="53"/>
      <c r="CY32" s="53"/>
      <c r="CZ32" s="53"/>
      <c r="DA32" s="53"/>
      <c r="DB32" s="53"/>
      <c r="DC32" s="53"/>
      <c r="DD32" s="53"/>
      <c r="DE32" s="53"/>
      <c r="DF32" s="53"/>
      <c r="DG32" s="53"/>
      <c r="DH32" s="53"/>
      <c r="DI32" s="53"/>
      <c r="DJ32" s="53"/>
      <c r="DK32" s="54"/>
      <c r="DL32" s="66"/>
    </row>
    <row r="33" ht="12.75" customHeight="1">
      <c r="A33" s="1"/>
      <c r="B33" s="125"/>
      <c r="C33" s="53"/>
      <c r="D33" s="54"/>
      <c r="E33" s="120"/>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M33" s="53"/>
      <c r="CN33" s="53"/>
      <c r="CO33" s="53"/>
      <c r="CP33" s="53"/>
      <c r="CQ33" s="53"/>
      <c r="CR33" s="53"/>
      <c r="CS33" s="53"/>
      <c r="CT33" s="53"/>
      <c r="CU33" s="53"/>
      <c r="CV33" s="53"/>
      <c r="CW33" s="53"/>
      <c r="CX33" s="53"/>
      <c r="CY33" s="53"/>
      <c r="CZ33" s="53"/>
      <c r="DA33" s="53"/>
      <c r="DB33" s="53"/>
      <c r="DC33" s="53"/>
      <c r="DD33" s="53"/>
      <c r="DE33" s="53"/>
      <c r="DF33" s="53"/>
      <c r="DG33" s="53"/>
      <c r="DH33" s="53"/>
      <c r="DI33" s="53"/>
      <c r="DJ33" s="53"/>
      <c r="DK33" s="54"/>
      <c r="DL33" s="66"/>
    </row>
    <row r="34" ht="12.75" customHeight="1">
      <c r="A34" s="1"/>
      <c r="B34" s="51"/>
      <c r="C34" s="101"/>
      <c r="D34" s="54"/>
      <c r="E34" s="120"/>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53"/>
      <c r="CX34" s="53"/>
      <c r="CY34" s="53"/>
      <c r="CZ34" s="53"/>
      <c r="DA34" s="53"/>
      <c r="DB34" s="53"/>
      <c r="DC34" s="53"/>
      <c r="DD34" s="53"/>
      <c r="DE34" s="53"/>
      <c r="DF34" s="53"/>
      <c r="DG34" s="53"/>
      <c r="DH34" s="53"/>
      <c r="DI34" s="53"/>
      <c r="DJ34" s="53"/>
      <c r="DK34" s="54"/>
      <c r="DL34" s="66"/>
    </row>
    <row r="35" ht="12.75" customHeight="1">
      <c r="A35" s="1"/>
      <c r="B35" s="51"/>
      <c r="C35" s="101"/>
      <c r="D35" s="54"/>
      <c r="E35" s="120"/>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c r="CR35" s="53"/>
      <c r="CS35" s="53"/>
      <c r="CT35" s="53"/>
      <c r="CU35" s="53"/>
      <c r="CV35" s="53"/>
      <c r="CW35" s="53"/>
      <c r="CX35" s="53"/>
      <c r="CY35" s="53"/>
      <c r="CZ35" s="53"/>
      <c r="DA35" s="53"/>
      <c r="DB35" s="53"/>
      <c r="DC35" s="53"/>
      <c r="DD35" s="53"/>
      <c r="DE35" s="53"/>
      <c r="DF35" s="53"/>
      <c r="DG35" s="53"/>
      <c r="DH35" s="53"/>
      <c r="DI35" s="53"/>
      <c r="DJ35" s="53"/>
      <c r="DK35" s="54"/>
      <c r="DL35" s="66"/>
    </row>
    <row r="36" ht="12.75" customHeight="1">
      <c r="A36" s="1"/>
      <c r="B36" s="125"/>
      <c r="C36" s="53"/>
      <c r="D36" s="54"/>
      <c r="E36" s="120"/>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c r="CJ36" s="53"/>
      <c r="CK36" s="53"/>
      <c r="CL36" s="53"/>
      <c r="CM36" s="53"/>
      <c r="CN36" s="53"/>
      <c r="CO36" s="53"/>
      <c r="CP36" s="53"/>
      <c r="CQ36" s="53"/>
      <c r="CR36" s="53"/>
      <c r="CS36" s="53"/>
      <c r="CT36" s="53"/>
      <c r="CU36" s="53"/>
      <c r="CV36" s="53"/>
      <c r="CW36" s="53"/>
      <c r="CX36" s="53"/>
      <c r="CY36" s="53"/>
      <c r="CZ36" s="53"/>
      <c r="DA36" s="53"/>
      <c r="DB36" s="53"/>
      <c r="DC36" s="53"/>
      <c r="DD36" s="53"/>
      <c r="DE36" s="53"/>
      <c r="DF36" s="53"/>
      <c r="DG36" s="53"/>
      <c r="DH36" s="53"/>
      <c r="DI36" s="53"/>
      <c r="DJ36" s="53"/>
      <c r="DK36" s="54"/>
      <c r="DL36" s="66"/>
    </row>
    <row r="37" ht="12.75" customHeight="1">
      <c r="A37" s="1"/>
      <c r="B37" s="51"/>
      <c r="C37" s="101"/>
      <c r="D37" s="54"/>
      <c r="E37" s="120"/>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c r="CS37" s="53"/>
      <c r="CT37" s="53"/>
      <c r="CU37" s="53"/>
      <c r="CV37" s="53"/>
      <c r="CW37" s="53"/>
      <c r="CX37" s="53"/>
      <c r="CY37" s="53"/>
      <c r="CZ37" s="53"/>
      <c r="DA37" s="53"/>
      <c r="DB37" s="53"/>
      <c r="DC37" s="53"/>
      <c r="DD37" s="53"/>
      <c r="DE37" s="53"/>
      <c r="DF37" s="53"/>
      <c r="DG37" s="53"/>
      <c r="DH37" s="53"/>
      <c r="DI37" s="53"/>
      <c r="DJ37" s="53"/>
      <c r="DK37" s="54"/>
      <c r="DL37" s="66"/>
    </row>
    <row r="38" ht="12.75" customHeight="1">
      <c r="A38" s="1"/>
      <c r="B38" s="139" t="s">
        <v>97</v>
      </c>
      <c r="C38" s="140"/>
      <c r="D38" s="140"/>
      <c r="E38" s="140"/>
      <c r="F38" s="140"/>
      <c r="G38" s="140"/>
      <c r="H38" s="140"/>
      <c r="I38" s="140"/>
      <c r="J38" s="140"/>
      <c r="K38" s="140"/>
      <c r="L38" s="140"/>
      <c r="M38" s="140"/>
      <c r="N38" s="140"/>
      <c r="O38" s="140"/>
      <c r="P38" s="140"/>
      <c r="Q38" s="140"/>
      <c r="R38" s="140"/>
      <c r="S38" s="140"/>
      <c r="T38" s="140"/>
      <c r="U38" s="140"/>
      <c r="V38" s="140"/>
      <c r="W38" s="140"/>
      <c r="X38" s="140"/>
      <c r="Y38" s="140"/>
      <c r="Z38" s="140"/>
      <c r="AA38" s="140"/>
      <c r="AB38" s="140"/>
      <c r="AC38" s="140"/>
      <c r="AD38" s="140"/>
      <c r="AE38" s="140"/>
      <c r="AF38" s="140"/>
      <c r="AG38" s="140"/>
      <c r="AH38" s="140"/>
      <c r="AI38" s="140"/>
      <c r="AJ38" s="140"/>
      <c r="AK38" s="140"/>
      <c r="AL38" s="140"/>
      <c r="AM38" s="140"/>
      <c r="AN38" s="140"/>
      <c r="AO38" s="140"/>
      <c r="AP38" s="143"/>
      <c r="AQ38" s="145" t="s">
        <v>98</v>
      </c>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40"/>
      <c r="BU38" s="140"/>
      <c r="BV38" s="140"/>
      <c r="BW38" s="140"/>
      <c r="BX38" s="140"/>
      <c r="BY38" s="140"/>
      <c r="BZ38" s="140"/>
      <c r="CA38" s="140"/>
      <c r="CB38" s="140"/>
      <c r="CC38" s="140"/>
      <c r="CD38" s="140"/>
      <c r="CE38" s="143"/>
      <c r="CF38" s="145" t="s">
        <v>99</v>
      </c>
      <c r="CG38" s="140"/>
      <c r="CH38" s="140"/>
      <c r="CI38" s="140"/>
      <c r="CJ38" s="140"/>
      <c r="CK38" s="140"/>
      <c r="CL38" s="140"/>
      <c r="CM38" s="140"/>
      <c r="CN38" s="140"/>
      <c r="CO38" s="140"/>
      <c r="CP38" s="140"/>
      <c r="CQ38" s="140"/>
      <c r="CR38" s="140"/>
      <c r="CS38" s="140"/>
      <c r="CT38" s="140"/>
      <c r="CU38" s="140"/>
      <c r="CV38" s="143"/>
      <c r="CW38" s="146" t="s">
        <v>100</v>
      </c>
      <c r="CX38" s="140"/>
      <c r="CY38" s="140"/>
      <c r="CZ38" s="140"/>
      <c r="DA38" s="140"/>
      <c r="DB38" s="140"/>
      <c r="DC38" s="140"/>
      <c r="DD38" s="140"/>
      <c r="DE38" s="140"/>
      <c r="DF38" s="140"/>
      <c r="DG38" s="140"/>
      <c r="DH38" s="140"/>
      <c r="DI38" s="140"/>
      <c r="DJ38" s="140"/>
      <c r="DK38" s="140"/>
      <c r="DL38" s="147"/>
    </row>
    <row r="39" ht="12.75" customHeight="1">
      <c r="A39" s="1"/>
      <c r="B39" s="150" t="s">
        <v>102</v>
      </c>
      <c r="C39" s="95"/>
      <c r="D39" s="95"/>
      <c r="E39" s="95"/>
      <c r="F39" s="95"/>
      <c r="G39" s="95"/>
      <c r="H39" s="95"/>
      <c r="I39" s="95"/>
      <c r="J39" s="95"/>
      <c r="K39" s="95"/>
      <c r="L39" s="95"/>
      <c r="M39" s="95"/>
      <c r="N39" s="95"/>
      <c r="O39" s="95"/>
      <c r="P39" s="95"/>
      <c r="Q39" s="95"/>
      <c r="R39" s="95"/>
      <c r="S39" s="95"/>
      <c r="T39" s="95"/>
      <c r="U39" s="95"/>
      <c r="V39" s="95"/>
      <c r="W39" s="95"/>
      <c r="X39" s="95"/>
      <c r="Y39" s="95"/>
      <c r="Z39" s="95"/>
      <c r="AA39" s="95"/>
      <c r="AB39" s="95"/>
      <c r="AC39" s="95"/>
      <c r="AD39" s="95"/>
      <c r="AE39" s="95"/>
      <c r="AF39" s="95"/>
      <c r="AG39" s="95"/>
      <c r="AH39" s="95"/>
      <c r="AI39" s="95"/>
      <c r="AJ39" s="95"/>
      <c r="AK39" s="95"/>
      <c r="AL39" s="95"/>
      <c r="AM39" s="95"/>
      <c r="AN39" s="95"/>
      <c r="AO39" s="95"/>
      <c r="AP39" s="151"/>
      <c r="AQ39" s="152"/>
      <c r="AR39" s="95"/>
      <c r="AS39" s="95"/>
      <c r="AT39" s="95"/>
      <c r="AU39" s="95"/>
      <c r="AV39" s="95"/>
      <c r="AW39" s="95"/>
      <c r="AX39" s="95"/>
      <c r="AY39" s="95"/>
      <c r="AZ39" s="95"/>
      <c r="BA39" s="95"/>
      <c r="BB39" s="95"/>
      <c r="BC39" s="95"/>
      <c r="BD39" s="95"/>
      <c r="BE39" s="95"/>
      <c r="BF39" s="95"/>
      <c r="BG39" s="95"/>
      <c r="BH39" s="95"/>
      <c r="BI39" s="95"/>
      <c r="BJ39" s="95"/>
      <c r="BK39" s="95"/>
      <c r="BL39" s="95"/>
      <c r="BM39" s="95"/>
      <c r="BN39" s="95"/>
      <c r="BO39" s="95"/>
      <c r="BP39" s="95"/>
      <c r="BQ39" s="95"/>
      <c r="BR39" s="95"/>
      <c r="BS39" s="95"/>
      <c r="BT39" s="95"/>
      <c r="BU39" s="95"/>
      <c r="BV39" s="95"/>
      <c r="BW39" s="95"/>
      <c r="BX39" s="95"/>
      <c r="BY39" s="95"/>
      <c r="BZ39" s="95"/>
      <c r="CA39" s="95"/>
      <c r="CB39" s="95"/>
      <c r="CC39" s="95"/>
      <c r="CD39" s="95"/>
      <c r="CE39" s="151"/>
      <c r="CF39" s="152" t="s">
        <v>105</v>
      </c>
      <c r="CG39" s="95"/>
      <c r="CH39" s="95"/>
      <c r="CI39" s="95"/>
      <c r="CJ39" s="95"/>
      <c r="CK39" s="95"/>
      <c r="CL39" s="95"/>
      <c r="CM39" s="95"/>
      <c r="CN39" s="95"/>
      <c r="CO39" s="95"/>
      <c r="CP39" s="95"/>
      <c r="CQ39" s="95"/>
      <c r="CR39" s="95"/>
      <c r="CS39" s="95"/>
      <c r="CT39" s="95"/>
      <c r="CU39" s="95"/>
      <c r="CV39" s="151"/>
      <c r="CW39" s="153" t="s">
        <v>106</v>
      </c>
      <c r="CX39" s="95"/>
      <c r="CY39" s="95"/>
      <c r="CZ39" s="95"/>
      <c r="DA39" s="95"/>
      <c r="DB39" s="95"/>
      <c r="DC39" s="95"/>
      <c r="DD39" s="95"/>
      <c r="DE39" s="95"/>
      <c r="DF39" s="95"/>
      <c r="DG39" s="95"/>
      <c r="DH39" s="95"/>
      <c r="DI39" s="95"/>
      <c r="DJ39" s="95"/>
      <c r="DK39" s="95"/>
      <c r="DL39" s="97"/>
    </row>
    <row r="40" ht="12.75" customHeight="1">
      <c r="A40" s="1"/>
      <c r="B40" s="154"/>
      <c r="C40" s="156"/>
      <c r="D40" s="107"/>
      <c r="E40" s="107"/>
      <c r="F40" s="107"/>
      <c r="G40" s="107"/>
      <c r="H40" s="107"/>
      <c r="I40" s="107"/>
      <c r="J40" s="107"/>
      <c r="K40" s="107"/>
      <c r="L40" s="107"/>
      <c r="M40" s="107"/>
      <c r="N40" s="107"/>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8"/>
      <c r="CX40" s="158" t="s">
        <v>107</v>
      </c>
      <c r="CY40" s="107"/>
      <c r="CZ40" s="107"/>
      <c r="DA40" s="107"/>
      <c r="DB40" s="107"/>
      <c r="DC40" s="107"/>
      <c r="DD40" s="107"/>
      <c r="DE40" s="107"/>
      <c r="DF40" s="107"/>
      <c r="DG40" s="107"/>
      <c r="DH40" s="107"/>
      <c r="DI40" s="107"/>
      <c r="DJ40" s="107"/>
      <c r="DK40" s="107"/>
      <c r="DL40" s="159"/>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row>
  </sheetData>
  <mergeCells count="155">
    <mergeCell ref="B2:W5"/>
    <mergeCell ref="X2:DL5"/>
    <mergeCell ref="B6:DL6"/>
    <mergeCell ref="C7:Q7"/>
    <mergeCell ref="R7:BL7"/>
    <mergeCell ref="BS7:CB7"/>
    <mergeCell ref="CC7:DK7"/>
    <mergeCell ref="C8:Q8"/>
    <mergeCell ref="R8:BD8"/>
    <mergeCell ref="BE8:BJ8"/>
    <mergeCell ref="BK8:CV8"/>
    <mergeCell ref="CW8:CZ8"/>
    <mergeCell ref="DA8:DK8"/>
    <mergeCell ref="D10:AS10"/>
    <mergeCell ref="CP10:DJ10"/>
    <mergeCell ref="AM11:AS12"/>
    <mergeCell ref="AV11:BB12"/>
    <mergeCell ref="BC11:BI12"/>
    <mergeCell ref="BJ11:BP12"/>
    <mergeCell ref="BS11:BY12"/>
    <mergeCell ref="BZ11:CF12"/>
    <mergeCell ref="CG11:CM12"/>
    <mergeCell ref="CP11:CV12"/>
    <mergeCell ref="CW11:DC12"/>
    <mergeCell ref="DD11:DJ12"/>
    <mergeCell ref="AV10:BP10"/>
    <mergeCell ref="BS10:CM10"/>
    <mergeCell ref="D11:J12"/>
    <mergeCell ref="K11:Q12"/>
    <mergeCell ref="R11:X12"/>
    <mergeCell ref="Y11:AE12"/>
    <mergeCell ref="AF11:AL12"/>
    <mergeCell ref="BC16:BI16"/>
    <mergeCell ref="BJ16:BP16"/>
    <mergeCell ref="BS16:BY16"/>
    <mergeCell ref="BZ16:CF16"/>
    <mergeCell ref="CG16:CM16"/>
    <mergeCell ref="CP16:CV16"/>
    <mergeCell ref="CW16:DC16"/>
    <mergeCell ref="DD16:DJ16"/>
    <mergeCell ref="D16:J16"/>
    <mergeCell ref="K16:Q16"/>
    <mergeCell ref="R16:X16"/>
    <mergeCell ref="Y16:AE16"/>
    <mergeCell ref="AF16:AL16"/>
    <mergeCell ref="AM16:AS16"/>
    <mergeCell ref="AV16:BB16"/>
    <mergeCell ref="BC17:BI17"/>
    <mergeCell ref="BJ17:BP17"/>
    <mergeCell ref="BS17:BY17"/>
    <mergeCell ref="BZ17:CF17"/>
    <mergeCell ref="CG17:CM17"/>
    <mergeCell ref="CP17:CV17"/>
    <mergeCell ref="CW17:DC17"/>
    <mergeCell ref="DD17:DJ17"/>
    <mergeCell ref="D17:J17"/>
    <mergeCell ref="K17:Q17"/>
    <mergeCell ref="R17:X17"/>
    <mergeCell ref="Y17:AE17"/>
    <mergeCell ref="AF17:AL17"/>
    <mergeCell ref="AM17:AS17"/>
    <mergeCell ref="AV17:BB17"/>
    <mergeCell ref="E23:DK23"/>
    <mergeCell ref="E24:DK24"/>
    <mergeCell ref="C19:D19"/>
    <mergeCell ref="E19:DK19"/>
    <mergeCell ref="C20:D20"/>
    <mergeCell ref="E20:DK20"/>
    <mergeCell ref="C21:D21"/>
    <mergeCell ref="E21:DK21"/>
    <mergeCell ref="E22:DK22"/>
    <mergeCell ref="C22:D22"/>
    <mergeCell ref="C23:D23"/>
    <mergeCell ref="C24:D24"/>
    <mergeCell ref="C25:D25"/>
    <mergeCell ref="E25:DK25"/>
    <mergeCell ref="C26:D26"/>
    <mergeCell ref="E26:DK26"/>
    <mergeCell ref="C27:D27"/>
    <mergeCell ref="E27:DK27"/>
    <mergeCell ref="C28:D28"/>
    <mergeCell ref="E28:DK28"/>
    <mergeCell ref="C29:D29"/>
    <mergeCell ref="E29:DK29"/>
    <mergeCell ref="E30:DK30"/>
    <mergeCell ref="C30:D30"/>
    <mergeCell ref="C31:D31"/>
    <mergeCell ref="E31:DK31"/>
    <mergeCell ref="C32:D32"/>
    <mergeCell ref="E32:DK32"/>
    <mergeCell ref="B33:D33"/>
    <mergeCell ref="E33:DK33"/>
    <mergeCell ref="C34:D34"/>
    <mergeCell ref="E34:DK34"/>
    <mergeCell ref="C35:D35"/>
    <mergeCell ref="E35:DK35"/>
    <mergeCell ref="B36:D36"/>
    <mergeCell ref="E36:DK36"/>
    <mergeCell ref="E37:DK37"/>
    <mergeCell ref="CF39:CV39"/>
    <mergeCell ref="CW39:DL39"/>
    <mergeCell ref="C37:D37"/>
    <mergeCell ref="B38:AP38"/>
    <mergeCell ref="AQ38:CE38"/>
    <mergeCell ref="CF38:CV38"/>
    <mergeCell ref="CW38:DL38"/>
    <mergeCell ref="B39:AP39"/>
    <mergeCell ref="AQ39:CE39"/>
    <mergeCell ref="BC13:BI13"/>
    <mergeCell ref="BJ13:BP13"/>
    <mergeCell ref="BS13:BY13"/>
    <mergeCell ref="BZ13:CF13"/>
    <mergeCell ref="CG13:CM13"/>
    <mergeCell ref="CP13:CV13"/>
    <mergeCell ref="CW13:DC13"/>
    <mergeCell ref="DD13:DJ13"/>
    <mergeCell ref="D13:J13"/>
    <mergeCell ref="K13:Q13"/>
    <mergeCell ref="R13:X13"/>
    <mergeCell ref="Y13:AE13"/>
    <mergeCell ref="AF13:AL13"/>
    <mergeCell ref="AM13:AS13"/>
    <mergeCell ref="AV13:BB13"/>
    <mergeCell ref="BC14:BI14"/>
    <mergeCell ref="BJ14:BP14"/>
    <mergeCell ref="BS14:BY14"/>
    <mergeCell ref="BZ14:CF14"/>
    <mergeCell ref="CG14:CM14"/>
    <mergeCell ref="CP14:CV14"/>
    <mergeCell ref="CW14:DC14"/>
    <mergeCell ref="DD14:DJ14"/>
    <mergeCell ref="D14:J14"/>
    <mergeCell ref="K14:Q14"/>
    <mergeCell ref="R14:X14"/>
    <mergeCell ref="Y14:AE14"/>
    <mergeCell ref="AF14:AL14"/>
    <mergeCell ref="AM14:AS14"/>
    <mergeCell ref="AV14:BB14"/>
    <mergeCell ref="BC15:BI15"/>
    <mergeCell ref="BJ15:BP15"/>
    <mergeCell ref="BS15:BY15"/>
    <mergeCell ref="BZ15:CF15"/>
    <mergeCell ref="CG15:CM15"/>
    <mergeCell ref="CP15:CV15"/>
    <mergeCell ref="CW15:DC15"/>
    <mergeCell ref="DD15:DJ15"/>
    <mergeCell ref="D15:J15"/>
    <mergeCell ref="K15:Q15"/>
    <mergeCell ref="R15:X15"/>
    <mergeCell ref="Y15:AE15"/>
    <mergeCell ref="AF15:AL15"/>
    <mergeCell ref="AM15:AS15"/>
    <mergeCell ref="AV15:BB15"/>
    <mergeCell ref="C40:CW40"/>
    <mergeCell ref="CX40:DL40"/>
  </mergeCells>
  <printOptions gridLines="1" horizontalCentered="1" verticalCentered="1"/>
  <pageMargins bottom="0.0" footer="0.0" header="0.0" left="0.0" right="0.0" top="0.0"/>
  <pageSetup orientation="landscape"/>
  <headerFooter>
    <oddFooter>&amp;RF-SER-034 Rev.01</oddFooter>
  </headerFooter>
  <drawing r:id="rId1"/>
</worksheet>
</file>